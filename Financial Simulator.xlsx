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defaultThemeVersion="166925"/>
  <mc:AlternateContent xmlns:mc="http://schemas.openxmlformats.org/markup-compatibility/2006">
    <mc:Choice Requires="x15">
      <x15ac:absPath xmlns:x15ac="http://schemas.microsoft.com/office/spreadsheetml/2010/11/ac" url="https://d.docs.live.net/E1A54EB9D86AC3B6/Documents/"/>
    </mc:Choice>
  </mc:AlternateContent>
  <xr:revisionPtr revIDLastSave="978" documentId="8_{52BD08D1-1DC2-4143-AE76-F1E643730594}" xr6:coauthVersionLast="47" xr6:coauthVersionMax="47" xr10:uidLastSave="{CD0679C7-8756-4DB4-8DF3-AF9EAA37210D}"/>
  <bookViews>
    <workbookView xWindow="-120" yWindow="-120" windowWidth="29040" windowHeight="15720" activeTab="2" xr2:uid="{6BAAF638-1830-430B-AED6-6383A2E0C983}"/>
  </bookViews>
  <sheets>
    <sheet name="About " sheetId="8" r:id="rId1"/>
    <sheet name="Financials&gt;" sheetId="2" r:id="rId2"/>
    <sheet name="Historical FS" sheetId="3" r:id="rId3"/>
    <sheet name="Ratio Analysis" sheetId="5" r:id="rId4"/>
    <sheet name="Common-size statements" sheetId="7" r:id="rId5"/>
    <sheet name="Forecasting" sheetId="6" r:id="rId6"/>
    <sheet name="Data&gt;" sheetId="1" r:id="rId7"/>
    <sheet name="Data Sheet" sheetId="4" r:id="rId8"/>
  </sheets>
  <definedNames>
    <definedName name="UPDATE">'Data Sheet'!$E$1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5" l="1"/>
  <c r="E9" i="5"/>
  <c r="F9" i="5"/>
  <c r="G9" i="5"/>
  <c r="H9" i="5"/>
  <c r="I9" i="5"/>
  <c r="J9" i="5"/>
  <c r="K9" i="5"/>
  <c r="L9" i="5"/>
  <c r="D24" i="7"/>
  <c r="E24" i="7"/>
  <c r="F24" i="7"/>
  <c r="G24" i="7"/>
  <c r="H24" i="7"/>
  <c r="I24" i="7"/>
  <c r="J24" i="7"/>
  <c r="K24" i="7"/>
  <c r="C24" i="7"/>
  <c r="D4" i="7"/>
  <c r="E4" i="7"/>
  <c r="F4" i="7"/>
  <c r="G4" i="7"/>
  <c r="H4" i="7"/>
  <c r="I4" i="7"/>
  <c r="J4" i="7"/>
  <c r="K4" i="7"/>
  <c r="C4" i="7"/>
  <c r="D37" i="3"/>
  <c r="E37" i="3"/>
  <c r="F37" i="3"/>
  <c r="G37" i="3"/>
  <c r="H37" i="3"/>
  <c r="I37" i="3"/>
  <c r="J37" i="3"/>
  <c r="K37" i="3"/>
  <c r="L37" i="3"/>
  <c r="M37" i="3"/>
  <c r="C37" i="3"/>
  <c r="D22" i="3"/>
  <c r="E22" i="3"/>
  <c r="I4" i="6" s="1" a="1"/>
  <c r="I4" i="6" s="1"/>
  <c r="F22" i="3"/>
  <c r="G22" i="3"/>
  <c r="H22" i="3"/>
  <c r="I22" i="3"/>
  <c r="J22" i="3"/>
  <c r="K22" i="3"/>
  <c r="L22" i="3"/>
  <c r="C22" i="3"/>
  <c r="D32" i="7"/>
  <c r="E32" i="7"/>
  <c r="F32" i="7"/>
  <c r="G32" i="7"/>
  <c r="H32" i="7"/>
  <c r="I32" i="7"/>
  <c r="J32" i="7"/>
  <c r="K32" i="7"/>
  <c r="D33" i="7"/>
  <c r="E33" i="7"/>
  <c r="F33" i="7"/>
  <c r="G33" i="7"/>
  <c r="H33" i="7"/>
  <c r="I33" i="7"/>
  <c r="J33" i="7"/>
  <c r="K33" i="7"/>
  <c r="D34" i="7"/>
  <c r="E34" i="7"/>
  <c r="F34" i="7"/>
  <c r="G34" i="7"/>
  <c r="H34" i="7"/>
  <c r="I34" i="7"/>
  <c r="J34" i="7"/>
  <c r="K34" i="7"/>
  <c r="D35" i="7"/>
  <c r="E35" i="7"/>
  <c r="F35" i="7"/>
  <c r="G35" i="7"/>
  <c r="H35" i="7"/>
  <c r="I35" i="7"/>
  <c r="J35" i="7"/>
  <c r="K35" i="7"/>
  <c r="D36" i="7"/>
  <c r="E36" i="7"/>
  <c r="F36" i="7"/>
  <c r="G36" i="7"/>
  <c r="H36" i="7"/>
  <c r="I36" i="7"/>
  <c r="J36" i="7"/>
  <c r="K36" i="7"/>
  <c r="D37" i="7"/>
  <c r="E37" i="7"/>
  <c r="F37" i="7"/>
  <c r="G37" i="7"/>
  <c r="H37" i="7"/>
  <c r="I37" i="7"/>
  <c r="J37" i="7"/>
  <c r="K37" i="7"/>
  <c r="D38" i="7"/>
  <c r="E38" i="7"/>
  <c r="F38" i="7"/>
  <c r="G38" i="7"/>
  <c r="H38" i="7"/>
  <c r="I38" i="7"/>
  <c r="J38" i="7"/>
  <c r="K38" i="7"/>
  <c r="D39" i="7"/>
  <c r="E39" i="7"/>
  <c r="F39" i="7"/>
  <c r="G39" i="7"/>
  <c r="H39" i="7"/>
  <c r="I39" i="7"/>
  <c r="J39" i="7"/>
  <c r="K39" i="7"/>
  <c r="C38" i="7"/>
  <c r="C39" i="7"/>
  <c r="C37" i="7"/>
  <c r="C36" i="7"/>
  <c r="C34" i="7"/>
  <c r="C35" i="7"/>
  <c r="C33" i="7"/>
  <c r="C32" i="7"/>
  <c r="D26" i="7"/>
  <c r="E26" i="7"/>
  <c r="F26" i="7"/>
  <c r="G26" i="7"/>
  <c r="H26" i="7"/>
  <c r="I26" i="7"/>
  <c r="J26" i="7"/>
  <c r="K26" i="7"/>
  <c r="D27" i="7"/>
  <c r="E27" i="7"/>
  <c r="F27" i="7"/>
  <c r="G27" i="7"/>
  <c r="H27" i="7"/>
  <c r="I27" i="7"/>
  <c r="J27" i="7"/>
  <c r="K27" i="7"/>
  <c r="D28" i="7"/>
  <c r="E28" i="7"/>
  <c r="F28" i="7"/>
  <c r="G28" i="7"/>
  <c r="H28" i="7"/>
  <c r="I28" i="7"/>
  <c r="J28" i="7"/>
  <c r="K28" i="7"/>
  <c r="D29" i="7"/>
  <c r="E29" i="7"/>
  <c r="F29" i="7"/>
  <c r="G29" i="7"/>
  <c r="H29" i="7"/>
  <c r="I29" i="7"/>
  <c r="J29" i="7"/>
  <c r="K29" i="7"/>
  <c r="D30" i="7"/>
  <c r="E30" i="7"/>
  <c r="F30" i="7"/>
  <c r="G30" i="7"/>
  <c r="H30" i="7"/>
  <c r="I30" i="7"/>
  <c r="J30" i="7"/>
  <c r="K30" i="7"/>
  <c r="C28" i="7"/>
  <c r="C29" i="7"/>
  <c r="C30" i="7"/>
  <c r="C27" i="7"/>
  <c r="C26" i="7"/>
  <c r="B38" i="7"/>
  <c r="B39" i="7"/>
  <c r="B37" i="7"/>
  <c r="D74" i="4"/>
  <c r="E74" i="4"/>
  <c r="F74" i="4"/>
  <c r="G74" i="4"/>
  <c r="H74" i="4"/>
  <c r="I74" i="4"/>
  <c r="J74" i="4"/>
  <c r="K74" i="4"/>
  <c r="C74" i="4"/>
  <c r="B34" i="7"/>
  <c r="B35" i="7"/>
  <c r="B36" i="7"/>
  <c r="B33" i="7"/>
  <c r="B28" i="7"/>
  <c r="B29" i="7"/>
  <c r="B30" i="7"/>
  <c r="B27" i="7"/>
  <c r="B22" i="7"/>
  <c r="B2" i="7"/>
  <c r="K20" i="7"/>
  <c r="J20" i="7"/>
  <c r="I20" i="7"/>
  <c r="H20" i="7"/>
  <c r="G20" i="7"/>
  <c r="F20" i="7"/>
  <c r="E20" i="7"/>
  <c r="D20" i="7"/>
  <c r="K19" i="7"/>
  <c r="J19" i="7"/>
  <c r="I19" i="7"/>
  <c r="H19" i="7"/>
  <c r="G19" i="7"/>
  <c r="F19" i="7"/>
  <c r="E19" i="7"/>
  <c r="D19" i="7"/>
  <c r="K18" i="7"/>
  <c r="J18" i="7"/>
  <c r="I18" i="7"/>
  <c r="H18" i="7"/>
  <c r="G18" i="7"/>
  <c r="F18" i="7"/>
  <c r="E18" i="7"/>
  <c r="D18" i="7"/>
  <c r="K17" i="7"/>
  <c r="J17" i="7"/>
  <c r="I17" i="7"/>
  <c r="H17" i="7"/>
  <c r="G17" i="7"/>
  <c r="F17" i="7"/>
  <c r="E17" i="7"/>
  <c r="D17" i="7"/>
  <c r="K16" i="7"/>
  <c r="J16" i="7"/>
  <c r="I16" i="7"/>
  <c r="H16" i="7"/>
  <c r="G16" i="7"/>
  <c r="F16" i="7"/>
  <c r="E16" i="7"/>
  <c r="D16" i="7"/>
  <c r="K15" i="7"/>
  <c r="J15" i="7"/>
  <c r="I15" i="7"/>
  <c r="H15" i="7"/>
  <c r="G15" i="7"/>
  <c r="F15" i="7"/>
  <c r="E15" i="7"/>
  <c r="D15" i="7"/>
  <c r="K14" i="7"/>
  <c r="J14" i="7"/>
  <c r="I14" i="7"/>
  <c r="H14" i="7"/>
  <c r="G14" i="7"/>
  <c r="F14" i="7"/>
  <c r="E14" i="7"/>
  <c r="D14" i="7"/>
  <c r="K13" i="7"/>
  <c r="J13" i="7"/>
  <c r="I13" i="7"/>
  <c r="H13" i="7"/>
  <c r="G13" i="7"/>
  <c r="F13" i="7"/>
  <c r="E13" i="7"/>
  <c r="D13" i="7"/>
  <c r="K12" i="7"/>
  <c r="J12" i="7"/>
  <c r="I12" i="7"/>
  <c r="H12" i="7"/>
  <c r="G12" i="7"/>
  <c r="F12" i="7"/>
  <c r="E12" i="7"/>
  <c r="D12" i="7"/>
  <c r="K11" i="7"/>
  <c r="J11" i="7"/>
  <c r="I11" i="7"/>
  <c r="H11" i="7"/>
  <c r="G11" i="7"/>
  <c r="F11" i="7"/>
  <c r="E11" i="7"/>
  <c r="D11" i="7"/>
  <c r="K10" i="7"/>
  <c r="J10" i="7"/>
  <c r="I10" i="7"/>
  <c r="H10" i="7"/>
  <c r="G10" i="7"/>
  <c r="F10" i="7"/>
  <c r="E10" i="7"/>
  <c r="D10" i="7"/>
  <c r="K9" i="7"/>
  <c r="J9" i="7"/>
  <c r="I9" i="7"/>
  <c r="H9" i="7"/>
  <c r="G9" i="7"/>
  <c r="F9" i="7"/>
  <c r="E9" i="7"/>
  <c r="D9" i="7"/>
  <c r="K8" i="7"/>
  <c r="J8" i="7"/>
  <c r="I8" i="7"/>
  <c r="H8" i="7"/>
  <c r="G8" i="7"/>
  <c r="F8" i="7"/>
  <c r="E8" i="7"/>
  <c r="D8" i="7"/>
  <c r="K7" i="7"/>
  <c r="J7" i="7"/>
  <c r="I7" i="7"/>
  <c r="H7" i="7"/>
  <c r="G7" i="7"/>
  <c r="F7" i="7"/>
  <c r="E7" i="7"/>
  <c r="D7" i="7"/>
  <c r="K6" i="7"/>
  <c r="J6" i="7"/>
  <c r="I6" i="7"/>
  <c r="H6" i="7"/>
  <c r="G6" i="7"/>
  <c r="F6" i="7"/>
  <c r="E6" i="7"/>
  <c r="D6" i="7"/>
  <c r="C7" i="7"/>
  <c r="C8" i="7"/>
  <c r="C9" i="7"/>
  <c r="C10" i="7"/>
  <c r="C11" i="7"/>
  <c r="C12" i="7"/>
  <c r="C13" i="7"/>
  <c r="C14" i="7"/>
  <c r="C15" i="7"/>
  <c r="C16" i="7"/>
  <c r="C17" i="7"/>
  <c r="C18" i="7"/>
  <c r="C19" i="7"/>
  <c r="C20" i="7"/>
  <c r="C6" i="7"/>
  <c r="B7" i="7"/>
  <c r="B8" i="7"/>
  <c r="B9" i="7"/>
  <c r="B10" i="7"/>
  <c r="B11" i="7"/>
  <c r="B12" i="7"/>
  <c r="B13" i="7"/>
  <c r="B14" i="7"/>
  <c r="B15" i="7"/>
  <c r="B16" i="7"/>
  <c r="B17" i="7"/>
  <c r="B18" i="7"/>
  <c r="B19" i="7"/>
  <c r="B20" i="7"/>
  <c r="B6" i="7"/>
  <c r="L2" i="6"/>
  <c r="L5" i="6"/>
  <c r="L6" i="6" s="1"/>
  <c r="L7" i="6" s="1"/>
  <c r="L8" i="6" s="1"/>
  <c r="L9" i="6" s="1"/>
  <c r="L10" i="6" s="1"/>
  <c r="L11" i="6" s="1"/>
  <c r="L12" i="6" s="1"/>
  <c r="L13" i="6" s="1"/>
  <c r="L14" i="6" s="1"/>
  <c r="M4" i="6"/>
  <c r="M5" i="6" s="1"/>
  <c r="M6" i="6" s="1"/>
  <c r="M7" i="6" s="1"/>
  <c r="M8" i="6" s="1"/>
  <c r="M9" i="6" s="1"/>
  <c r="M10" i="6" s="1"/>
  <c r="M11" i="6" s="1"/>
  <c r="M12" i="6" s="1"/>
  <c r="M13" i="6" s="1"/>
  <c r="M14" i="6" s="1"/>
  <c r="M15" i="6" s="1"/>
  <c r="M16" i="6" s="1"/>
  <c r="M17" i="6" s="1"/>
  <c r="M18" i="6" s="1"/>
  <c r="G2" i="6"/>
  <c r="H5" i="6"/>
  <c r="H6" i="6" s="1"/>
  <c r="H7" i="6" s="1"/>
  <c r="H8" i="6" s="1"/>
  <c r="H9" i="6" s="1"/>
  <c r="H10" i="6" s="1"/>
  <c r="H11" i="6" s="1"/>
  <c r="H12" i="6" s="1"/>
  <c r="H13" i="6" s="1"/>
  <c r="H14" i="6" s="1"/>
  <c r="H15" i="6" s="1"/>
  <c r="H16" i="6" s="1"/>
  <c r="H17" i="6" s="1"/>
  <c r="H18" i="6" s="1"/>
  <c r="G5" i="6"/>
  <c r="G6" i="6" s="1"/>
  <c r="G7" i="6" s="1"/>
  <c r="G8" i="6" s="1"/>
  <c r="G9" i="6" s="1"/>
  <c r="G10" i="6" s="1"/>
  <c r="G11" i="6" s="1"/>
  <c r="G12" i="6" s="1"/>
  <c r="G13" i="6" s="1"/>
  <c r="G14" i="6" s="1"/>
  <c r="H4" i="6"/>
  <c r="C4" i="6"/>
  <c r="C5" i="6" s="1"/>
  <c r="C6" i="6" s="1"/>
  <c r="C7" i="6" s="1"/>
  <c r="C8" i="6" s="1"/>
  <c r="C9" i="6" s="1"/>
  <c r="C10" i="6" s="1"/>
  <c r="C11" i="6" s="1"/>
  <c r="C12" i="6" s="1"/>
  <c r="C13" i="6" s="1"/>
  <c r="C14" i="6" s="1"/>
  <c r="C15" i="6" s="1"/>
  <c r="C16" i="6" s="1"/>
  <c r="C17" i="6" s="1"/>
  <c r="C18" i="6" s="1"/>
  <c r="B2" i="6"/>
  <c r="D4" i="6" a="1"/>
  <c r="D4" i="6" s="1"/>
  <c r="B6" i="6"/>
  <c r="B7" i="6" s="1"/>
  <c r="B8" i="6" s="1"/>
  <c r="B9" i="6" s="1"/>
  <c r="B10" i="6" s="1"/>
  <c r="B11" i="6" s="1"/>
  <c r="B12" i="6" s="1"/>
  <c r="B13" i="6" s="1"/>
  <c r="B14" i="6" s="1"/>
  <c r="B5" i="6"/>
  <c r="D20" i="3"/>
  <c r="E20" i="3"/>
  <c r="F20" i="3"/>
  <c r="G20" i="3"/>
  <c r="H20" i="3"/>
  <c r="I20" i="3"/>
  <c r="J20" i="3"/>
  <c r="K20" i="3"/>
  <c r="L20" i="3"/>
  <c r="M20" i="3"/>
  <c r="C20" i="3"/>
  <c r="M32" i="3"/>
  <c r="M19" i="3"/>
  <c r="M22" i="3" s="1"/>
  <c r="D19" i="3"/>
  <c r="E19" i="3"/>
  <c r="F19" i="3"/>
  <c r="G19" i="3"/>
  <c r="H19" i="3"/>
  <c r="I19" i="3"/>
  <c r="J19" i="3"/>
  <c r="K19" i="3"/>
  <c r="L19" i="3"/>
  <c r="C19" i="3"/>
  <c r="B2" i="5"/>
  <c r="L3" i="5"/>
  <c r="K3" i="5"/>
  <c r="J3" i="5"/>
  <c r="I3" i="5"/>
  <c r="H3" i="5"/>
  <c r="G3" i="5"/>
  <c r="F3" i="5"/>
  <c r="E3" i="5"/>
  <c r="D3" i="5"/>
  <c r="C3" i="5"/>
  <c r="B2" i="3"/>
  <c r="D79" i="3"/>
  <c r="E79" i="3"/>
  <c r="F79" i="3"/>
  <c r="G79" i="3"/>
  <c r="H79" i="3"/>
  <c r="I79" i="3"/>
  <c r="J79" i="3"/>
  <c r="K79" i="3"/>
  <c r="L79" i="3"/>
  <c r="C79" i="3"/>
  <c r="D77" i="3"/>
  <c r="E77" i="3"/>
  <c r="F77" i="3"/>
  <c r="G77" i="3"/>
  <c r="H77" i="3"/>
  <c r="I77" i="3"/>
  <c r="J77" i="3"/>
  <c r="K77" i="3"/>
  <c r="L77" i="3"/>
  <c r="C77" i="3"/>
  <c r="D75" i="3"/>
  <c r="E75" i="3"/>
  <c r="F75" i="3"/>
  <c r="G75" i="3"/>
  <c r="H75" i="3"/>
  <c r="H38" i="5" s="1"/>
  <c r="I75" i="3"/>
  <c r="I40" i="5" s="1"/>
  <c r="J75" i="3"/>
  <c r="K75" i="3"/>
  <c r="L75" i="3"/>
  <c r="C75" i="3"/>
  <c r="D62" i="3"/>
  <c r="E62" i="3"/>
  <c r="F62" i="3"/>
  <c r="G62" i="3"/>
  <c r="H62" i="3"/>
  <c r="I62" i="3"/>
  <c r="J62" i="3"/>
  <c r="K62" i="3"/>
  <c r="L62" i="3"/>
  <c r="C62" i="3"/>
  <c r="D58" i="3"/>
  <c r="E58" i="3"/>
  <c r="F58" i="3"/>
  <c r="G58" i="3"/>
  <c r="H58" i="3"/>
  <c r="I58" i="3"/>
  <c r="J58" i="3"/>
  <c r="K58" i="3"/>
  <c r="L58" i="3"/>
  <c r="D59" i="3"/>
  <c r="E59" i="3"/>
  <c r="F59" i="3"/>
  <c r="G59" i="3"/>
  <c r="H59" i="3"/>
  <c r="I59" i="3"/>
  <c r="J59" i="3"/>
  <c r="K59" i="3"/>
  <c r="L59" i="3"/>
  <c r="D60" i="3"/>
  <c r="E60" i="3"/>
  <c r="F60" i="3"/>
  <c r="G60" i="3"/>
  <c r="H60" i="3"/>
  <c r="I60" i="3"/>
  <c r="J60" i="3"/>
  <c r="K60" i="3"/>
  <c r="L60" i="3"/>
  <c r="D61" i="3"/>
  <c r="E61" i="3"/>
  <c r="F61" i="3"/>
  <c r="G61" i="3"/>
  <c r="H61" i="3"/>
  <c r="I61" i="3"/>
  <c r="J61" i="3"/>
  <c r="K61" i="3"/>
  <c r="L61" i="3"/>
  <c r="C59" i="3"/>
  <c r="C60" i="3"/>
  <c r="C61" i="3"/>
  <c r="C58" i="3"/>
  <c r="D64" i="3"/>
  <c r="E64" i="3"/>
  <c r="F64" i="3"/>
  <c r="G64" i="3"/>
  <c r="H64" i="3"/>
  <c r="I64" i="3"/>
  <c r="J64" i="3"/>
  <c r="K64" i="3"/>
  <c r="L64" i="3"/>
  <c r="D65" i="3"/>
  <c r="E65" i="3"/>
  <c r="F65" i="3"/>
  <c r="G65" i="3"/>
  <c r="H65" i="3"/>
  <c r="I65" i="3"/>
  <c r="J65" i="3"/>
  <c r="K65" i="3"/>
  <c r="L65" i="3"/>
  <c r="D66" i="3"/>
  <c r="E66" i="3"/>
  <c r="F66" i="3"/>
  <c r="G66" i="3"/>
  <c r="H66" i="3"/>
  <c r="I66" i="3"/>
  <c r="J66" i="3"/>
  <c r="K66" i="3"/>
  <c r="L66" i="3"/>
  <c r="C65" i="3"/>
  <c r="C66" i="3"/>
  <c r="C64" i="3"/>
  <c r="D52" i="3"/>
  <c r="E52" i="3"/>
  <c r="F52" i="3"/>
  <c r="G52" i="3"/>
  <c r="H52" i="3"/>
  <c r="I52" i="3"/>
  <c r="J52" i="3"/>
  <c r="K52" i="3"/>
  <c r="L52" i="3"/>
  <c r="D53" i="3"/>
  <c r="E53" i="3"/>
  <c r="F53" i="3"/>
  <c r="G53" i="3"/>
  <c r="G31" i="5" s="1"/>
  <c r="H53" i="3"/>
  <c r="I53" i="3"/>
  <c r="J53" i="3"/>
  <c r="K53" i="3"/>
  <c r="L53" i="3"/>
  <c r="D54" i="3"/>
  <c r="D40" i="5" s="1"/>
  <c r="E54" i="3"/>
  <c r="F54" i="3"/>
  <c r="G54" i="3"/>
  <c r="H54" i="3"/>
  <c r="I54" i="3"/>
  <c r="J54" i="3"/>
  <c r="K54" i="3"/>
  <c r="L54" i="3"/>
  <c r="D55" i="3"/>
  <c r="E55" i="3"/>
  <c r="F55" i="3"/>
  <c r="G55" i="3"/>
  <c r="H55" i="3"/>
  <c r="I55" i="3"/>
  <c r="J55" i="3"/>
  <c r="K55" i="3"/>
  <c r="L55" i="3"/>
  <c r="C53" i="3"/>
  <c r="C54" i="3"/>
  <c r="C55" i="3"/>
  <c r="C52" i="3"/>
  <c r="D40" i="3"/>
  <c r="D45" i="3" s="1"/>
  <c r="E40" i="3"/>
  <c r="E45" i="3" s="1"/>
  <c r="F40" i="3"/>
  <c r="F45" i="3" s="1"/>
  <c r="G40" i="3"/>
  <c r="G45" i="3" s="1"/>
  <c r="H40" i="3"/>
  <c r="H45" i="3" s="1"/>
  <c r="I40" i="3"/>
  <c r="I45" i="3" s="1"/>
  <c r="J40" i="3"/>
  <c r="J45" i="3" s="1"/>
  <c r="K40" i="3"/>
  <c r="K45" i="3" s="1"/>
  <c r="L40" i="3"/>
  <c r="L45" i="3" s="1"/>
  <c r="C40" i="3"/>
  <c r="C45" i="3" s="1"/>
  <c r="M31" i="3"/>
  <c r="M34" i="3"/>
  <c r="D34" i="3"/>
  <c r="E34" i="3"/>
  <c r="F34" i="3"/>
  <c r="G34" i="3"/>
  <c r="H34" i="3"/>
  <c r="I34" i="3"/>
  <c r="J34" i="3"/>
  <c r="K34" i="3"/>
  <c r="L34" i="3"/>
  <c r="C34" i="3"/>
  <c r="M28" i="3"/>
  <c r="D28" i="3"/>
  <c r="E28" i="3"/>
  <c r="F28" i="3"/>
  <c r="G28" i="3"/>
  <c r="H28" i="3"/>
  <c r="I28" i="3"/>
  <c r="J28" i="3"/>
  <c r="K28" i="3"/>
  <c r="L28" i="3"/>
  <c r="C28" i="3"/>
  <c r="M25" i="3"/>
  <c r="D25" i="3"/>
  <c r="E25" i="3"/>
  <c r="F25" i="3"/>
  <c r="F26" i="3" s="1"/>
  <c r="G25" i="3"/>
  <c r="H25" i="3"/>
  <c r="I25" i="3"/>
  <c r="J25" i="3"/>
  <c r="K25" i="3"/>
  <c r="L25" i="3"/>
  <c r="C25" i="3"/>
  <c r="G17" i="3"/>
  <c r="G17" i="5" s="1"/>
  <c r="D16" i="3"/>
  <c r="E16" i="3"/>
  <c r="F16" i="3"/>
  <c r="G16" i="3"/>
  <c r="H16" i="3"/>
  <c r="I16" i="3"/>
  <c r="J16" i="3"/>
  <c r="K16" i="3"/>
  <c r="L16" i="3"/>
  <c r="C16" i="3"/>
  <c r="M10" i="3"/>
  <c r="D10" i="3"/>
  <c r="E10" i="3"/>
  <c r="F10" i="3"/>
  <c r="G10" i="3"/>
  <c r="H10" i="3"/>
  <c r="I10" i="3"/>
  <c r="J10" i="3"/>
  <c r="K10" i="3"/>
  <c r="L10" i="3"/>
  <c r="C10" i="3"/>
  <c r="M7" i="3"/>
  <c r="L7" i="3"/>
  <c r="L27" i="5" s="1"/>
  <c r="L33" i="5" s="1"/>
  <c r="K7" i="3"/>
  <c r="K28" i="5" s="1"/>
  <c r="K34" i="5" s="1"/>
  <c r="J7" i="3"/>
  <c r="J29" i="5" s="1"/>
  <c r="J35" i="5" s="1"/>
  <c r="I7" i="3"/>
  <c r="I29" i="5" s="1"/>
  <c r="I35" i="5" s="1"/>
  <c r="H7" i="3"/>
  <c r="H27" i="5" s="1"/>
  <c r="H33" i="5" s="1"/>
  <c r="G7" i="3"/>
  <c r="G27" i="5" s="1"/>
  <c r="G33" i="5" s="1"/>
  <c r="F7" i="3"/>
  <c r="F29" i="3" s="1"/>
  <c r="F18" i="5" s="1"/>
  <c r="E7" i="3"/>
  <c r="E27" i="5" s="1"/>
  <c r="E33" i="5" s="1"/>
  <c r="D7" i="3"/>
  <c r="D27" i="5" s="1"/>
  <c r="D33" i="5" s="1"/>
  <c r="C7" i="3"/>
  <c r="C28" i="5" s="1"/>
  <c r="D3" i="3"/>
  <c r="E3" i="3"/>
  <c r="F3" i="3"/>
  <c r="G3" i="3"/>
  <c r="H3" i="3"/>
  <c r="I3" i="3"/>
  <c r="J3" i="3"/>
  <c r="K3" i="3"/>
  <c r="L3" i="3"/>
  <c r="C3" i="3"/>
  <c r="E1" i="4"/>
  <c r="B6" i="4"/>
  <c r="B15" i="6" l="1"/>
  <c r="I8" i="6"/>
  <c r="I6" i="6"/>
  <c r="I11" i="6"/>
  <c r="I10" i="6"/>
  <c r="I9" i="6"/>
  <c r="J9" i="6" s="1"/>
  <c r="L15" i="6"/>
  <c r="I7" i="6"/>
  <c r="J8" i="6" s="1"/>
  <c r="I13" i="6"/>
  <c r="I5" i="6"/>
  <c r="I12" i="6"/>
  <c r="G15" i="6"/>
  <c r="D11" i="6"/>
  <c r="E11" i="6" s="1"/>
  <c r="D9" i="6"/>
  <c r="E9" i="6" s="1"/>
  <c r="D10" i="6"/>
  <c r="D8" i="6"/>
  <c r="D7" i="6"/>
  <c r="D6" i="6"/>
  <c r="D13" i="6"/>
  <c r="D5" i="6"/>
  <c r="E5" i="6" s="1"/>
  <c r="D12" i="6"/>
  <c r="E12" i="6" s="1"/>
  <c r="L40" i="5"/>
  <c r="L31" i="5"/>
  <c r="D31" i="5"/>
  <c r="G38" i="5"/>
  <c r="H81" i="3"/>
  <c r="G28" i="5"/>
  <c r="G34" i="5" s="1"/>
  <c r="E38" i="5"/>
  <c r="H31" i="5"/>
  <c r="I30" i="5"/>
  <c r="K38" i="5"/>
  <c r="J81" i="3"/>
  <c r="L81" i="3"/>
  <c r="D81" i="3"/>
  <c r="H30" i="5"/>
  <c r="C34" i="5"/>
  <c r="C29" i="5"/>
  <c r="J28" i="5"/>
  <c r="J34" i="5" s="1"/>
  <c r="K27" i="5"/>
  <c r="K33" i="5" s="1"/>
  <c r="F38" i="5"/>
  <c r="H29" i="3"/>
  <c r="H18" i="5" s="1"/>
  <c r="I81" i="3"/>
  <c r="K81" i="3"/>
  <c r="C30" i="5"/>
  <c r="F31" i="5"/>
  <c r="G30" i="5"/>
  <c r="H29" i="5"/>
  <c r="H35" i="5" s="1"/>
  <c r="I28" i="5"/>
  <c r="I34" i="5" s="1"/>
  <c r="J27" i="5"/>
  <c r="J33" i="5" s="1"/>
  <c r="K40" i="5"/>
  <c r="C31" i="5"/>
  <c r="E31" i="5"/>
  <c r="F30" i="5"/>
  <c r="G29" i="5"/>
  <c r="G35" i="5" s="1"/>
  <c r="H28" i="5"/>
  <c r="H34" i="5" s="1"/>
  <c r="I27" i="5"/>
  <c r="I33" i="5" s="1"/>
  <c r="J40" i="5"/>
  <c r="L38" i="5"/>
  <c r="D38" i="5"/>
  <c r="E30" i="5"/>
  <c r="F29" i="5"/>
  <c r="F35" i="5" s="1"/>
  <c r="F81" i="3"/>
  <c r="G81" i="3"/>
  <c r="K31" i="5"/>
  <c r="L30" i="5"/>
  <c r="D30" i="5"/>
  <c r="E29" i="5"/>
  <c r="E35" i="5" s="1"/>
  <c r="F28" i="5"/>
  <c r="F34" i="5" s="1"/>
  <c r="H40" i="5"/>
  <c r="J38" i="5"/>
  <c r="C81" i="3"/>
  <c r="E81" i="3"/>
  <c r="J31" i="5"/>
  <c r="K30" i="5"/>
  <c r="L29" i="5"/>
  <c r="L35" i="5" s="1"/>
  <c r="D29" i="5"/>
  <c r="D35" i="5" s="1"/>
  <c r="E28" i="5"/>
  <c r="E34" i="5" s="1"/>
  <c r="E36" i="5" s="1"/>
  <c r="F27" i="5"/>
  <c r="F33" i="5" s="1"/>
  <c r="C38" i="5"/>
  <c r="G40" i="5"/>
  <c r="I38" i="5"/>
  <c r="C27" i="5"/>
  <c r="I31" i="5"/>
  <c r="J30" i="5"/>
  <c r="K29" i="5"/>
  <c r="K35" i="5" s="1"/>
  <c r="L28" i="5"/>
  <c r="L34" i="5" s="1"/>
  <c r="L36" i="5" s="1"/>
  <c r="D28" i="5"/>
  <c r="D34" i="5" s="1"/>
  <c r="D36" i="5" s="1"/>
  <c r="F40" i="5"/>
  <c r="C40" i="5"/>
  <c r="E40" i="5"/>
  <c r="C67" i="3"/>
  <c r="C69" i="3" s="1"/>
  <c r="C39" i="5" s="1"/>
  <c r="E29" i="3"/>
  <c r="E18" i="5" s="1"/>
  <c r="G29" i="3"/>
  <c r="G18" i="5" s="1"/>
  <c r="E56" i="3"/>
  <c r="D67" i="3"/>
  <c r="E67" i="3"/>
  <c r="E69" i="3" s="1"/>
  <c r="L67" i="3"/>
  <c r="L69" i="3" s="1"/>
  <c r="L39" i="5" s="1"/>
  <c r="L56" i="3"/>
  <c r="D56" i="3"/>
  <c r="I8" i="3"/>
  <c r="I5" i="5" s="1"/>
  <c r="C56" i="3"/>
  <c r="K56" i="3"/>
  <c r="J56" i="3"/>
  <c r="K67" i="3"/>
  <c r="K69" i="3" s="1"/>
  <c r="K39" i="5" s="1"/>
  <c r="I29" i="3"/>
  <c r="I18" i="5" s="1"/>
  <c r="I56" i="3"/>
  <c r="J67" i="3"/>
  <c r="J69" i="3" s="1"/>
  <c r="J39" i="5" s="1"/>
  <c r="M13" i="3"/>
  <c r="J17" i="3"/>
  <c r="J17" i="5" s="1"/>
  <c r="C26" i="3"/>
  <c r="H56" i="3"/>
  <c r="I67" i="3"/>
  <c r="I69" i="3" s="1"/>
  <c r="I39" i="5" s="1"/>
  <c r="F11" i="3"/>
  <c r="I17" i="3"/>
  <c r="I17" i="5" s="1"/>
  <c r="L26" i="3"/>
  <c r="D26" i="3"/>
  <c r="G56" i="3"/>
  <c r="H67" i="3"/>
  <c r="H69" i="3" s="1"/>
  <c r="H39" i="5" s="1"/>
  <c r="K26" i="3"/>
  <c r="F56" i="3"/>
  <c r="F71" i="3" s="1"/>
  <c r="G67" i="3"/>
  <c r="G69" i="3" s="1"/>
  <c r="H13" i="3"/>
  <c r="H31" i="3" s="1"/>
  <c r="J26" i="3"/>
  <c r="F67" i="3"/>
  <c r="F69" i="3" s="1"/>
  <c r="F39" i="5" s="1"/>
  <c r="D69" i="3"/>
  <c r="D39" i="5" s="1"/>
  <c r="M26" i="3"/>
  <c r="M11" i="3"/>
  <c r="M38" i="3"/>
  <c r="J13" i="3"/>
  <c r="J14" i="3" s="1"/>
  <c r="J11" i="5" s="1"/>
  <c r="K13" i="3"/>
  <c r="I11" i="3"/>
  <c r="C17" i="3"/>
  <c r="C17" i="5" s="1"/>
  <c r="G13" i="3"/>
  <c r="H17" i="3"/>
  <c r="H17" i="5" s="1"/>
  <c r="H11" i="3"/>
  <c r="E11" i="3"/>
  <c r="G11" i="3"/>
  <c r="I13" i="3"/>
  <c r="I14" i="3" s="1"/>
  <c r="I11" i="5" s="1"/>
  <c r="F17" i="3"/>
  <c r="F17" i="5" s="1"/>
  <c r="E17" i="3"/>
  <c r="E17" i="5" s="1"/>
  <c r="C29" i="3"/>
  <c r="C18" i="5" s="1"/>
  <c r="L17" i="3"/>
  <c r="L17" i="5" s="1"/>
  <c r="D17" i="3"/>
  <c r="D17" i="5" s="1"/>
  <c r="H26" i="3"/>
  <c r="K29" i="3"/>
  <c r="K18" i="5" s="1"/>
  <c r="F8" i="3"/>
  <c r="F5" i="5" s="1"/>
  <c r="E26" i="3"/>
  <c r="H8" i="3"/>
  <c r="H5" i="5" s="1"/>
  <c r="G8" i="3"/>
  <c r="G5" i="5" s="1"/>
  <c r="I26" i="3"/>
  <c r="D11" i="3"/>
  <c r="L13" i="3"/>
  <c r="L14" i="3" s="1"/>
  <c r="L11" i="5" s="1"/>
  <c r="J11" i="3"/>
  <c r="K17" i="3"/>
  <c r="K17" i="5" s="1"/>
  <c r="G26" i="3"/>
  <c r="J29" i="3"/>
  <c r="J18" i="5" s="1"/>
  <c r="C11" i="3"/>
  <c r="D8" i="3"/>
  <c r="D5" i="5" s="1"/>
  <c r="C13" i="3"/>
  <c r="F13" i="3"/>
  <c r="M29" i="3"/>
  <c r="M8" i="3"/>
  <c r="E8" i="3"/>
  <c r="E5" i="5" s="1"/>
  <c r="E13" i="3"/>
  <c r="L29" i="3"/>
  <c r="L18" i="5" s="1"/>
  <c r="D29" i="3"/>
  <c r="D18" i="5" s="1"/>
  <c r="L11" i="3"/>
  <c r="K11" i="3"/>
  <c r="L8" i="3"/>
  <c r="L5" i="5" s="1"/>
  <c r="D13" i="3"/>
  <c r="K8" i="3"/>
  <c r="K5" i="5" s="1"/>
  <c r="J8" i="3"/>
  <c r="J5" i="5" s="1"/>
  <c r="J10" i="6" l="1"/>
  <c r="I14" i="6"/>
  <c r="J14" i="6" s="1"/>
  <c r="J13" i="6"/>
  <c r="J11" i="6"/>
  <c r="I15" i="6"/>
  <c r="J15" i="6" s="1"/>
  <c r="B16" i="6"/>
  <c r="D15" i="6"/>
  <c r="E15" i="6" s="1"/>
  <c r="E8" i="6"/>
  <c r="E13" i="6"/>
  <c r="E6" i="6"/>
  <c r="D14" i="6"/>
  <c r="E14" i="6" s="1"/>
  <c r="E7" i="6"/>
  <c r="E10" i="6"/>
  <c r="J6" i="6"/>
  <c r="L16" i="6"/>
  <c r="J5" i="6"/>
  <c r="J7" i="6"/>
  <c r="J12" i="6"/>
  <c r="G16" i="6"/>
  <c r="I16" i="6" s="1"/>
  <c r="G36" i="5"/>
  <c r="G71" i="3"/>
  <c r="H36" i="5"/>
  <c r="H14" i="3"/>
  <c r="H11" i="5" s="1"/>
  <c r="I71" i="3"/>
  <c r="N28" i="5"/>
  <c r="K35" i="3"/>
  <c r="K21" i="5"/>
  <c r="K13" i="5"/>
  <c r="K19" i="5" s="1"/>
  <c r="K25" i="5"/>
  <c r="H23" i="3"/>
  <c r="H12" i="5" s="1"/>
  <c r="E71" i="3"/>
  <c r="E39" i="5"/>
  <c r="O31" i="5"/>
  <c r="N31" i="5"/>
  <c r="O30" i="5"/>
  <c r="N30" i="5"/>
  <c r="O34" i="5"/>
  <c r="N34" i="5"/>
  <c r="O28" i="5"/>
  <c r="H25" i="5"/>
  <c r="H13" i="5"/>
  <c r="H19" i="5" s="1"/>
  <c r="H6" i="5"/>
  <c r="H21" i="5"/>
  <c r="H35" i="3"/>
  <c r="N18" i="5"/>
  <c r="O18" i="5"/>
  <c r="G35" i="3"/>
  <c r="G25" i="5"/>
  <c r="G21" i="5"/>
  <c r="G13" i="5"/>
  <c r="G19" i="5" s="1"/>
  <c r="N38" i="5"/>
  <c r="O38" i="5"/>
  <c r="K14" i="3"/>
  <c r="K11" i="5" s="1"/>
  <c r="N17" i="5"/>
  <c r="O17" i="5"/>
  <c r="O5" i="5"/>
  <c r="N5" i="5"/>
  <c r="M14" i="3"/>
  <c r="M23" i="3"/>
  <c r="O40" i="5"/>
  <c r="N40" i="5"/>
  <c r="I36" i="5"/>
  <c r="G39" i="5"/>
  <c r="N27" i="5"/>
  <c r="O27" i="5"/>
  <c r="C33" i="5"/>
  <c r="K36" i="5"/>
  <c r="F36" i="5"/>
  <c r="J36" i="5"/>
  <c r="N29" i="5"/>
  <c r="O29" i="5"/>
  <c r="C35" i="5"/>
  <c r="G31" i="3"/>
  <c r="G32" i="3" s="1"/>
  <c r="G14" i="5" s="1"/>
  <c r="J71" i="3"/>
  <c r="C71" i="3"/>
  <c r="D71" i="3"/>
  <c r="L71" i="3"/>
  <c r="G14" i="3"/>
  <c r="G11" i="5" s="1"/>
  <c r="K71" i="3"/>
  <c r="G23" i="3"/>
  <c r="G12" i="5" s="1"/>
  <c r="H71" i="3"/>
  <c r="K6" i="5"/>
  <c r="E14" i="3"/>
  <c r="E11" i="5" s="1"/>
  <c r="C14" i="3"/>
  <c r="C11" i="5" s="1"/>
  <c r="D14" i="3"/>
  <c r="D11" i="5" s="1"/>
  <c r="K31" i="3"/>
  <c r="K23" i="3"/>
  <c r="K12" i="5" s="1"/>
  <c r="H32" i="3"/>
  <c r="H14" i="5" s="1"/>
  <c r="F14" i="3"/>
  <c r="F11" i="5" s="1"/>
  <c r="G6" i="5"/>
  <c r="B17" i="6" l="1"/>
  <c r="D16" i="6"/>
  <c r="E16" i="6" s="1"/>
  <c r="L17" i="6"/>
  <c r="J16" i="6"/>
  <c r="G17" i="6"/>
  <c r="I17" i="6" s="1"/>
  <c r="N39" i="5"/>
  <c r="L31" i="3"/>
  <c r="L32" i="3" s="1"/>
  <c r="L14" i="5" s="1"/>
  <c r="L6" i="5"/>
  <c r="L21" i="5"/>
  <c r="L13" i="5"/>
  <c r="L19" i="5" s="1"/>
  <c r="L25" i="5"/>
  <c r="L35" i="3"/>
  <c r="D21" i="5"/>
  <c r="D13" i="5"/>
  <c r="D19" i="5" s="1"/>
  <c r="D6" i="5"/>
  <c r="D25" i="5"/>
  <c r="G38" i="3"/>
  <c r="G15" i="5" s="1"/>
  <c r="O33" i="5"/>
  <c r="N33" i="5"/>
  <c r="H7" i="5"/>
  <c r="F25" i="5"/>
  <c r="F6" i="5"/>
  <c r="F21" i="5"/>
  <c r="F13" i="5"/>
  <c r="F19" i="5" s="1"/>
  <c r="C25" i="5"/>
  <c r="C21" i="5"/>
  <c r="C13" i="5"/>
  <c r="O35" i="5"/>
  <c r="N35" i="5"/>
  <c r="O11" i="5"/>
  <c r="N11" i="5"/>
  <c r="E25" i="5"/>
  <c r="E6" i="5"/>
  <c r="E13" i="5"/>
  <c r="E19" i="5" s="1"/>
  <c r="E21" i="5"/>
  <c r="J31" i="3"/>
  <c r="K7" i="5" s="1"/>
  <c r="J21" i="5"/>
  <c r="J13" i="5"/>
  <c r="J19" i="5" s="1"/>
  <c r="J25" i="5"/>
  <c r="J6" i="5"/>
  <c r="C36" i="5"/>
  <c r="O39" i="5"/>
  <c r="I31" i="3"/>
  <c r="I13" i="5"/>
  <c r="I19" i="5" s="1"/>
  <c r="I25" i="5"/>
  <c r="I6" i="5"/>
  <c r="I21" i="5"/>
  <c r="H23" i="5"/>
  <c r="H8" i="5"/>
  <c r="I23" i="3"/>
  <c r="I12" i="5" s="1"/>
  <c r="I35" i="3"/>
  <c r="J35" i="3"/>
  <c r="L23" i="3"/>
  <c r="L12" i="5" s="1"/>
  <c r="J23" i="3"/>
  <c r="J12" i="5" s="1"/>
  <c r="C23" i="3"/>
  <c r="C12" i="5" s="1"/>
  <c r="C31" i="3"/>
  <c r="C35" i="3"/>
  <c r="H38" i="3"/>
  <c r="H15" i="5" s="1"/>
  <c r="H42" i="3"/>
  <c r="F23" i="3"/>
  <c r="F12" i="5" s="1"/>
  <c r="F31" i="3"/>
  <c r="G7" i="5" s="1"/>
  <c r="F35" i="3"/>
  <c r="K32" i="3"/>
  <c r="K14" i="5" s="1"/>
  <c r="D31" i="3"/>
  <c r="D23" i="3"/>
  <c r="D12" i="5" s="1"/>
  <c r="D35" i="3"/>
  <c r="E23" i="3"/>
  <c r="E12" i="5" s="1"/>
  <c r="E31" i="3"/>
  <c r="E35" i="3"/>
  <c r="G42" i="3"/>
  <c r="C23" i="5" l="1"/>
  <c r="B18" i="6"/>
  <c r="D18" i="6" s="1"/>
  <c r="D17" i="6"/>
  <c r="E17" i="6" s="1"/>
  <c r="L18" i="6"/>
  <c r="J17" i="6"/>
  <c r="G18" i="6"/>
  <c r="J32" i="3"/>
  <c r="J14" i="5" s="1"/>
  <c r="I38" i="3"/>
  <c r="I15" i="5" s="1"/>
  <c r="I7" i="5"/>
  <c r="O25" i="5"/>
  <c r="N25" i="5"/>
  <c r="G23" i="5"/>
  <c r="K23" i="5"/>
  <c r="E7" i="5"/>
  <c r="N36" i="5"/>
  <c r="O36" i="5"/>
  <c r="F7" i="5"/>
  <c r="I32" i="3"/>
  <c r="I14" i="5" s="1"/>
  <c r="N4" i="6" a="1"/>
  <c r="D7" i="5"/>
  <c r="J42" i="3"/>
  <c r="J7" i="5"/>
  <c r="N13" i="5"/>
  <c r="O13" i="5"/>
  <c r="C19" i="5"/>
  <c r="O21" i="5"/>
  <c r="N21" i="5"/>
  <c r="N12" i="5"/>
  <c r="O12" i="5"/>
  <c r="O6" i="5"/>
  <c r="N6" i="5"/>
  <c r="L23" i="5"/>
  <c r="L7" i="5"/>
  <c r="G46" i="3"/>
  <c r="G48" i="3" s="1"/>
  <c r="G22" i="5" s="1"/>
  <c r="D32" i="3"/>
  <c r="D14" i="5" s="1"/>
  <c r="E32" i="3"/>
  <c r="E14" i="5" s="1"/>
  <c r="J38" i="3"/>
  <c r="J15" i="5" s="1"/>
  <c r="C32" i="3"/>
  <c r="C14" i="5" s="1"/>
  <c r="H43" i="3"/>
  <c r="H46" i="3"/>
  <c r="H48" i="3" s="1"/>
  <c r="H22" i="5" s="1"/>
  <c r="H24" i="5" s="1"/>
  <c r="K38" i="3"/>
  <c r="K15" i="5" s="1"/>
  <c r="K42" i="3"/>
  <c r="F32" i="3"/>
  <c r="F14" i="5" s="1"/>
  <c r="N4" i="6" l="1"/>
  <c r="N9" i="6"/>
  <c r="N7" i="6"/>
  <c r="N13" i="6"/>
  <c r="N10" i="6"/>
  <c r="O10" i="6" s="1"/>
  <c r="N11" i="6"/>
  <c r="O11" i="6" s="1"/>
  <c r="N5" i="6"/>
  <c r="O5" i="6" s="1"/>
  <c r="N12" i="6"/>
  <c r="N6" i="6"/>
  <c r="N8" i="6"/>
  <c r="I18" i="6"/>
  <c r="J18" i="6" s="1"/>
  <c r="E18" i="6"/>
  <c r="I42" i="3"/>
  <c r="I43" i="3" s="1"/>
  <c r="F8" i="5"/>
  <c r="F23" i="5"/>
  <c r="G8" i="5"/>
  <c r="J23" i="5"/>
  <c r="J8" i="5"/>
  <c r="E8" i="5"/>
  <c r="E23" i="5"/>
  <c r="O19" i="5"/>
  <c r="N19" i="5"/>
  <c r="L8" i="5"/>
  <c r="N14" i="5"/>
  <c r="O14" i="5"/>
  <c r="O7" i="5"/>
  <c r="N7" i="5"/>
  <c r="L42" i="3"/>
  <c r="L46" i="3" s="1"/>
  <c r="L48" i="3" s="1"/>
  <c r="L22" i="5" s="1"/>
  <c r="L24" i="5" s="1"/>
  <c r="D8" i="5"/>
  <c r="D23" i="5"/>
  <c r="L38" i="3"/>
  <c r="L15" i="5" s="1"/>
  <c r="G24" i="5"/>
  <c r="K8" i="5"/>
  <c r="I23" i="5"/>
  <c r="I8" i="5"/>
  <c r="E42" i="3"/>
  <c r="E38" i="3"/>
  <c r="E15" i="5" s="1"/>
  <c r="F42" i="3"/>
  <c r="F38" i="3"/>
  <c r="F15" i="5" s="1"/>
  <c r="D42" i="3"/>
  <c r="D38" i="3"/>
  <c r="D15" i="5" s="1"/>
  <c r="K43" i="3"/>
  <c r="K46" i="3"/>
  <c r="K48" i="3" s="1"/>
  <c r="K22" i="5" s="1"/>
  <c r="K24" i="5" s="1"/>
  <c r="C42" i="3"/>
  <c r="C38" i="3"/>
  <c r="C15" i="5" s="1"/>
  <c r="J43" i="3"/>
  <c r="J46" i="3"/>
  <c r="J48" i="3" s="1"/>
  <c r="J22" i="5" s="1"/>
  <c r="J24" i="5" s="1"/>
  <c r="O13" i="6" l="1"/>
  <c r="I46" i="3"/>
  <c r="I48" i="3" s="1"/>
  <c r="I22" i="5" s="1"/>
  <c r="O8" i="6"/>
  <c r="O7" i="6"/>
  <c r="O6" i="6"/>
  <c r="N15" i="6"/>
  <c r="N14" i="6"/>
  <c r="O14" i="6" s="1"/>
  <c r="N16" i="6"/>
  <c r="O16" i="6" s="1"/>
  <c r="N17" i="6"/>
  <c r="O9" i="6"/>
  <c r="O12" i="6"/>
  <c r="N18" i="6"/>
  <c r="O23" i="5"/>
  <c r="L43" i="3"/>
  <c r="I24" i="5"/>
  <c r="O8" i="5"/>
  <c r="N8" i="5"/>
  <c r="N23" i="5"/>
  <c r="N15" i="5"/>
  <c r="O15" i="5"/>
  <c r="C46" i="3"/>
  <c r="C48" i="3" s="1"/>
  <c r="C22" i="5" s="1"/>
  <c r="E43" i="3"/>
  <c r="E46" i="3"/>
  <c r="E48" i="3" s="1"/>
  <c r="E22" i="5" s="1"/>
  <c r="E24" i="5" s="1"/>
  <c r="D43" i="3"/>
  <c r="D46" i="3"/>
  <c r="D48" i="3" s="1"/>
  <c r="D22" i="5" s="1"/>
  <c r="D24" i="5" s="1"/>
  <c r="F43" i="3"/>
  <c r="F46" i="3"/>
  <c r="F48" i="3" s="1"/>
  <c r="F22" i="5" s="1"/>
  <c r="F24" i="5" s="1"/>
  <c r="G43" i="3"/>
  <c r="O17" i="6" l="1"/>
  <c r="O9" i="5"/>
  <c r="N9" i="5"/>
  <c r="O15" i="6"/>
  <c r="O18" i="6"/>
  <c r="N22" i="5"/>
  <c r="O22" i="5"/>
  <c r="C24" i="5"/>
  <c r="N24" i="5" l="1"/>
  <c r="O24" i="5"/>
</calcChain>
</file>

<file path=xl/sharedStrings.xml><?xml version="1.0" encoding="utf-8"?>
<sst xmlns="http://schemas.openxmlformats.org/spreadsheetml/2006/main" count="202" uniqueCount="124">
  <si>
    <t>Year</t>
  </si>
  <si>
    <t>LTM</t>
  </si>
  <si>
    <t xml:space="preserve"> </t>
  </si>
  <si>
    <t>#</t>
  </si>
  <si>
    <t>Income statement</t>
  </si>
  <si>
    <t>Sales</t>
  </si>
  <si>
    <t>Sales Growth %</t>
  </si>
  <si>
    <t>COGS</t>
  </si>
  <si>
    <t>COGS % Sales</t>
  </si>
  <si>
    <t>Gross Profit</t>
  </si>
  <si>
    <t>Gross Margins %</t>
  </si>
  <si>
    <t>Selling &amp; General Expenses</t>
  </si>
  <si>
    <t>S&amp;G Expenses % Sales</t>
  </si>
  <si>
    <t>Other Income</t>
  </si>
  <si>
    <t>other income % sales</t>
  </si>
  <si>
    <t>EBITDA</t>
  </si>
  <si>
    <t>EBITDA Margin %</t>
  </si>
  <si>
    <t>Interest</t>
  </si>
  <si>
    <t>Interest % Sales</t>
  </si>
  <si>
    <t>Depreciation</t>
  </si>
  <si>
    <t>Depreciation % Sales</t>
  </si>
  <si>
    <t>EBT</t>
  </si>
  <si>
    <t>EBT % Sales</t>
  </si>
  <si>
    <t>Tax</t>
  </si>
  <si>
    <t>Effective Tax Rate %</t>
  </si>
  <si>
    <t>Net Profit</t>
  </si>
  <si>
    <t>Net Margins %</t>
  </si>
  <si>
    <t>No. of Equity shares</t>
  </si>
  <si>
    <t>Earnings per share</t>
  </si>
  <si>
    <t>EPS Growth %</t>
  </si>
  <si>
    <t>Divident per share</t>
  </si>
  <si>
    <t>Divident payout Ratio %</t>
  </si>
  <si>
    <t>Retained Earnings</t>
  </si>
  <si>
    <t>Balance sheet</t>
  </si>
  <si>
    <t>Equity Share Capital</t>
  </si>
  <si>
    <t>Reserves</t>
  </si>
  <si>
    <t>Borrowings</t>
  </si>
  <si>
    <t>Other Liabilities</t>
  </si>
  <si>
    <t>Total Liabilities</t>
  </si>
  <si>
    <t xml:space="preserve"> Fixed Assets Net Block</t>
  </si>
  <si>
    <t>Capital Work in Progress</t>
  </si>
  <si>
    <t>Investments</t>
  </si>
  <si>
    <t>Other Assets</t>
  </si>
  <si>
    <t>Total Non current Assets</t>
  </si>
  <si>
    <t>Receivables</t>
  </si>
  <si>
    <t>Inventory</t>
  </si>
  <si>
    <t>Cash &amp; Bank</t>
  </si>
  <si>
    <t>Total current Assets</t>
  </si>
  <si>
    <t>Total Assets</t>
  </si>
  <si>
    <t>Control Check</t>
  </si>
  <si>
    <t>Cash Flow Statements</t>
  </si>
  <si>
    <t>Cash from Operating Activity</t>
  </si>
  <si>
    <t>Cash from Investing Activity</t>
  </si>
  <si>
    <t>Cash from Financing Activity</t>
  </si>
  <si>
    <t>Net Cash Flow</t>
  </si>
  <si>
    <t>Trend</t>
  </si>
  <si>
    <t>Mean</t>
  </si>
  <si>
    <t>Median</t>
  </si>
  <si>
    <t>Sales Growth</t>
  </si>
  <si>
    <t>EBITDA Growth</t>
  </si>
  <si>
    <t>EBT Growth</t>
  </si>
  <si>
    <t>Net profit Growth</t>
  </si>
  <si>
    <t>EPS Growth</t>
  </si>
  <si>
    <t>Gross Margin</t>
  </si>
  <si>
    <t>EBITDA Margin</t>
  </si>
  <si>
    <t>EBIT Margin</t>
  </si>
  <si>
    <t>EBT Margin</t>
  </si>
  <si>
    <t>Net profit Margin</t>
  </si>
  <si>
    <t>Sales expense % Sales</t>
  </si>
  <si>
    <t>Operating income % Sales</t>
  </si>
  <si>
    <t>Return on capital employed</t>
  </si>
  <si>
    <t>Retained earnings</t>
  </si>
  <si>
    <t>Return on equity</t>
  </si>
  <si>
    <t>Self sustainable growth rate</t>
  </si>
  <si>
    <t>Interest coverage ratio</t>
  </si>
  <si>
    <t>Debtor turnover ratio</t>
  </si>
  <si>
    <t>Creditor turnover ratio</t>
  </si>
  <si>
    <t>Inventory turnover ratio</t>
  </si>
  <si>
    <t>Fixed Asset turnover ratio</t>
  </si>
  <si>
    <t>Capital turnover ratio</t>
  </si>
  <si>
    <t>Debtor Days</t>
  </si>
  <si>
    <t>Payable Days</t>
  </si>
  <si>
    <t>Inventory Days</t>
  </si>
  <si>
    <t>Cash Cycle Convertion</t>
  </si>
  <si>
    <t>CFO/Sales</t>
  </si>
  <si>
    <t>CFO/Total Assets</t>
  </si>
  <si>
    <t>CFO/Debt</t>
  </si>
  <si>
    <t>Particulars</t>
  </si>
  <si>
    <t>Year weight</t>
  </si>
  <si>
    <t>Net profit</t>
  </si>
  <si>
    <t>COMPANY NAME</t>
  </si>
  <si>
    <t>INDIAN RAILWAY FINANCE CORPORATION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</si>
  <si>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</si>
  <si>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</si>
  <si>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</si>
  <si>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</si>
  <si>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</si>
  <si>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</si>
  <si>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</si>
  <si>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</si>
  <si>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</si>
  <si>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</si>
  <si>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</si>
  <si>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</si>
  <si>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</si>
  <si>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</si>
  <si>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</si>
  <si>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</si>
  <si>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</si>
  <si>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Profit before tax</t>
  </si>
  <si>
    <t>Dividend Amount</t>
  </si>
  <si>
    <t>Quarters</t>
  </si>
  <si>
    <t>Expenses</t>
  </si>
  <si>
    <t>Operating Profit</t>
  </si>
  <si>
    <t>BALANCE SHEET</t>
  </si>
  <si>
    <t>Total</t>
  </si>
  <si>
    <t>Net Block</t>
  </si>
  <si>
    <t>No. of Equity Shares</t>
  </si>
  <si>
    <t>New Bonus Shares</t>
  </si>
  <si>
    <t>Face value</t>
  </si>
  <si>
    <t>CASH FLOW:</t>
  </si>
  <si>
    <t>PRICE:</t>
  </si>
  <si>
    <t>DERIVED:</t>
  </si>
  <si>
    <t>Adjusted Equity Shares in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</si>
</sst>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mmm\-yy;@"/>
    <numFmt numFmtId="166" formatCode="[$₹-4009]\ #,##0.0"/>
    <numFmt numFmtId="167" formatCode="[$₹-4009]\ #,##0.00"/>
    <numFmt numFmtId="168" formatCode="[$₹-4009]\ #,##0.0;\([$₹-4009]\ #,##0.0\)"/>
    <numFmt numFmtId="169" formatCode="0.00&quot;x&quot;"/>
    <numFmt numFmtId="170" formatCode="yyyy&quot;A&quot;"/>
    <numFmt numFmtId="171" formatCode="yyyy&quot;E&quot;"/>
  </numFmts>
  <fonts count="1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0"/>
      <name val="Calibri"/>
      <family val="2"/>
    </font>
    <font>
      <i/>
      <sz val="11"/>
      <color theme="0" tint="-0.499984740745262"/>
      <name val="Calibri"/>
      <family val="2"/>
      <scheme val="minor"/>
    </font>
    <font>
      <b/>
      <i/>
      <u/>
      <sz val="11"/>
      <color theme="1"/>
      <name val="Calibri"/>
      <family val="2"/>
      <scheme val="minor"/>
    </font>
    <font>
      <b/>
      <i/>
      <sz val="11"/>
      <color theme="1"/>
      <name val="Calibri"/>
      <family val="2"/>
      <scheme val="minor"/>
    </font>
    <font>
      <b/>
      <sz val="14"/>
      <color theme="0"/>
      <name val="Calibri"/>
      <family val="2"/>
      <scheme val="minor"/>
    </font>
  </fonts>
  <fills count="8">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499984740745262"/>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rgb="FF002060"/>
        <bgColor indexed="64"/>
      </patternFill>
    </fill>
  </fills>
  <borders count="6">
    <border>
      <left/>
      <right/>
      <top/>
      <bottom/>
      <diagonal/>
    </border>
    <border>
      <left/>
      <right/>
      <top style="hair">
        <color rgb="FF002060"/>
      </top>
      <bottom/>
      <diagonal/>
    </border>
    <border>
      <left/>
      <right/>
      <top/>
      <bottom style="hair">
        <color rgb="FF002060"/>
      </bottom>
      <diagonal/>
    </border>
    <border>
      <left/>
      <right/>
      <top style="hair">
        <color rgb="FF002060"/>
      </top>
      <bottom style="hair">
        <color rgb="FF002060"/>
      </bottom>
      <diagonal/>
    </border>
    <border>
      <left/>
      <right/>
      <top style="thin">
        <color rgb="FF002060"/>
      </top>
      <bottom/>
      <diagonal/>
    </border>
    <border>
      <left/>
      <right/>
      <top style="thin">
        <color auto="1"/>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6" fillId="0" borderId="0" applyNumberFormat="0" applyFill="0" applyBorder="0" applyAlignment="0" applyProtection="0">
      <alignment vertical="top"/>
      <protection locked="0"/>
    </xf>
  </cellStyleXfs>
  <cellXfs count="57">
    <xf numFmtId="0" fontId="0" fillId="0" borderId="0" xfId="0"/>
    <xf numFmtId="164" fontId="0" fillId="0" borderId="0" xfId="1" applyFont="1" applyBorder="1"/>
    <xf numFmtId="43" fontId="0" fillId="0" borderId="0" xfId="1" applyNumberFormat="1" applyFont="1" applyBorder="1"/>
    <xf numFmtId="164" fontId="3" fillId="0" borderId="0" xfId="1" applyFont="1" applyBorder="1"/>
    <xf numFmtId="164" fontId="1" fillId="0" borderId="0" xfId="1" applyFont="1" applyBorder="1"/>
    <xf numFmtId="165" fontId="5" fillId="0" borderId="0" xfId="1" applyNumberFormat="1" applyFont="1" applyFill="1" applyBorder="1"/>
    <xf numFmtId="165" fontId="2" fillId="3" borderId="0" xfId="0" applyNumberFormat="1" applyFont="1" applyFill="1" applyAlignment="1">
      <alignment horizontal="center"/>
    </xf>
    <xf numFmtId="165" fontId="2" fillId="3" borderId="0" xfId="1" applyNumberFormat="1" applyFont="1" applyFill="1" applyBorder="1"/>
    <xf numFmtId="15" fontId="0" fillId="0" borderId="0" xfId="0" applyNumberFormat="1"/>
    <xf numFmtId="0" fontId="2" fillId="4" borderId="0" xfId="0" applyFont="1" applyFill="1"/>
    <xf numFmtId="17" fontId="2" fillId="4" borderId="0" xfId="0" applyNumberFormat="1" applyFont="1" applyFill="1"/>
    <xf numFmtId="15" fontId="2" fillId="4" borderId="0" xfId="0" applyNumberFormat="1" applyFont="1" applyFill="1" applyAlignment="1">
      <alignment horizontal="right"/>
    </xf>
    <xf numFmtId="0" fontId="0" fillId="5" borderId="0" xfId="0" applyFill="1"/>
    <xf numFmtId="9" fontId="7" fillId="0" borderId="0" xfId="2" applyFont="1" applyBorder="1"/>
    <xf numFmtId="10" fontId="7" fillId="0" borderId="0" xfId="2" applyNumberFormat="1" applyFont="1" applyBorder="1"/>
    <xf numFmtId="17" fontId="2" fillId="4" borderId="0" xfId="0" applyNumberFormat="1" applyFont="1" applyFill="1" applyAlignment="1">
      <alignment horizontal="center"/>
    </xf>
    <xf numFmtId="10" fontId="0" fillId="0" borderId="0" xfId="2" applyNumberFormat="1" applyFont="1"/>
    <xf numFmtId="169" fontId="0" fillId="0" borderId="0" xfId="0" applyNumberFormat="1"/>
    <xf numFmtId="0" fontId="0" fillId="0" borderId="1" xfId="0" applyBorder="1"/>
    <xf numFmtId="10" fontId="0" fillId="0" borderId="1" xfId="2" applyNumberFormat="1" applyFont="1" applyBorder="1"/>
    <xf numFmtId="10" fontId="0" fillId="0" borderId="0" xfId="2" applyNumberFormat="1" applyFont="1" applyBorder="1"/>
    <xf numFmtId="0" fontId="0" fillId="0" borderId="2" xfId="0" applyBorder="1"/>
    <xf numFmtId="10" fontId="0" fillId="0" borderId="2" xfId="2" applyNumberFormat="1" applyFont="1" applyBorder="1"/>
    <xf numFmtId="10" fontId="0" fillId="0" borderId="2" xfId="0" applyNumberFormat="1" applyBorder="1"/>
    <xf numFmtId="169" fontId="0" fillId="0" borderId="2" xfId="0" applyNumberFormat="1" applyBorder="1"/>
    <xf numFmtId="169" fontId="0" fillId="0" borderId="1" xfId="0" applyNumberFormat="1" applyBorder="1"/>
    <xf numFmtId="1" fontId="0" fillId="0" borderId="1" xfId="0" applyNumberFormat="1" applyBorder="1"/>
    <xf numFmtId="1" fontId="0" fillId="0" borderId="0" xfId="0" applyNumberFormat="1"/>
    <xf numFmtId="1" fontId="0" fillId="0" borderId="2" xfId="0" applyNumberFormat="1" applyBorder="1"/>
    <xf numFmtId="166" fontId="0" fillId="0" borderId="0" xfId="0" applyNumberFormat="1"/>
    <xf numFmtId="167" fontId="0" fillId="0" borderId="0" xfId="0" applyNumberFormat="1"/>
    <xf numFmtId="0" fontId="3" fillId="0" borderId="0" xfId="0" applyFont="1"/>
    <xf numFmtId="166" fontId="3" fillId="0" borderId="0" xfId="0" applyNumberFormat="1" applyFont="1"/>
    <xf numFmtId="0" fontId="8" fillId="0" borderId="0" xfId="0" applyFont="1"/>
    <xf numFmtId="0" fontId="9" fillId="0" borderId="0" xfId="0" applyFont="1"/>
    <xf numFmtId="0" fontId="3" fillId="0" borderId="3" xfId="0" applyFont="1" applyBorder="1"/>
    <xf numFmtId="166" fontId="3" fillId="0" borderId="3" xfId="0" applyNumberFormat="1" applyFont="1" applyBorder="1"/>
    <xf numFmtId="168" fontId="0" fillId="0" borderId="0" xfId="0" applyNumberFormat="1"/>
    <xf numFmtId="168" fontId="3" fillId="0" borderId="3" xfId="0" applyNumberFormat="1" applyFont="1" applyBorder="1"/>
    <xf numFmtId="170" fontId="0" fillId="0" borderId="0" xfId="0" applyNumberFormat="1"/>
    <xf numFmtId="0" fontId="2" fillId="4" borderId="0" xfId="0" applyFont="1" applyFill="1" applyAlignment="1">
      <alignment horizontal="left"/>
    </xf>
    <xf numFmtId="0" fontId="2" fillId="4" borderId="0" xfId="0" applyFont="1" applyFill="1" applyAlignment="1">
      <alignment horizontal="right"/>
    </xf>
    <xf numFmtId="0" fontId="0" fillId="6" borderId="0" xfId="0" applyFill="1"/>
    <xf numFmtId="171" fontId="0" fillId="6" borderId="0" xfId="0" applyNumberFormat="1" applyFill="1"/>
    <xf numFmtId="166" fontId="0" fillId="6" borderId="0" xfId="0" applyNumberFormat="1" applyFill="1"/>
    <xf numFmtId="10" fontId="0" fillId="6" borderId="0" xfId="2" applyNumberFormat="1" applyFont="1" applyFill="1"/>
    <xf numFmtId="9" fontId="2" fillId="4" borderId="0" xfId="0" applyNumberFormat="1" applyFont="1" applyFill="1" applyAlignment="1">
      <alignment horizontal="right"/>
    </xf>
    <xf numFmtId="17" fontId="3" fillId="0" borderId="0" xfId="0" applyNumberFormat="1" applyFont="1"/>
    <xf numFmtId="0" fontId="0" fillId="0" borderId="4" xfId="0" applyBorder="1"/>
    <xf numFmtId="164" fontId="0" fillId="0" borderId="0" xfId="0" applyNumberFormat="1"/>
    <xf numFmtId="164" fontId="3" fillId="0" borderId="0" xfId="0" applyNumberFormat="1" applyFont="1"/>
    <xf numFmtId="10" fontId="3" fillId="0" borderId="0" xfId="2" applyNumberFormat="1" applyFont="1"/>
    <xf numFmtId="0" fontId="0" fillId="0" borderId="5" xfId="0" applyBorder="1"/>
    <xf numFmtId="0" fontId="2" fillId="4" borderId="0" xfId="0" applyFont="1" applyFill="1" applyAlignment="1">
      <alignment horizontal="center"/>
    </xf>
    <xf numFmtId="0" fontId="10" fillId="7" borderId="0" xfId="0" applyFont="1" applyFill="1" applyAlignment="1">
      <alignment horizontal="center"/>
    </xf>
    <xf numFmtId="164" fontId="6" fillId="0" borderId="0" xfId="4" applyNumberFormat="1" applyBorder="1" applyAlignment="1" applyProtection="1">
      <alignment horizontal="center"/>
    </xf>
    <xf numFmtId="164" fontId="2" fillId="2" borderId="0" xfId="3" applyNumberFormat="1" applyFont="1" applyBorder="1" applyAlignment="1">
      <alignment horizontal="center"/>
    </xf>
  </cellXfs>
  <cellStyles count="5">
    <cellStyle name="Accent6" xfId="3" builtinId="49"/>
    <cellStyle name="Comma" xfId="1" builtinId="3"/>
    <cellStyle name="Hyperlink" xfId="4" builtinId="8"/>
    <cellStyle name="Normal" xfId="0" builtinId="0"/>
    <cellStyle name="Percent" xfId="2" builtinId="5"/>
  </cellStyles>
  <dxfs count="1">
    <dxf>
      <font>
        <b/>
        <i val="0"/>
        <color theme="0"/>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65048118985126"/>
          <c:y val="0.17171296296296298"/>
          <c:w val="0.83177296587926508"/>
          <c:h val="0.55311315252260129"/>
        </c:manualLayout>
      </c:layout>
      <c:areaChart>
        <c:grouping val="standard"/>
        <c:varyColors val="0"/>
        <c:ser>
          <c:idx val="1"/>
          <c:order val="0"/>
          <c:tx>
            <c:strRef>
              <c:f>Forecasting!$E$2:$E$3</c:f>
              <c:strCache>
                <c:ptCount val="2"/>
                <c:pt idx="1">
                  <c:v>Sales Growth</c:v>
                </c:pt>
              </c:strCache>
            </c:strRef>
          </c:tx>
          <c:spPr>
            <a:solidFill>
              <a:schemeClr val="accent5">
                <a:lumMod val="50000"/>
                <a:alpha val="54000"/>
              </a:schemeClr>
            </a:solidFill>
            <a:ln>
              <a:noFill/>
            </a:ln>
            <a:effectLst/>
          </c:spPr>
          <c:trendline>
            <c:spPr>
              <a:ln w="19050" cap="rnd">
                <a:solidFill>
                  <a:schemeClr val="accent2"/>
                </a:solidFill>
                <a:prstDash val="sysDot"/>
              </a:ln>
              <a:effectLst/>
            </c:spPr>
            <c:trendlineType val="linear"/>
            <c:dispRSqr val="0"/>
            <c:dispEq val="0"/>
          </c:trendline>
          <c:cat>
            <c:strRef>
              <c:f>Forecasting!$C$3:$C$18</c:f>
              <c:strCache>
                <c:ptCount val="16"/>
                <c:pt idx="0">
                  <c:v>Year</c:v>
                </c:pt>
                <c:pt idx="1">
                  <c:v>2015A</c:v>
                </c:pt>
                <c:pt idx="2">
                  <c:v>2016A</c:v>
                </c:pt>
                <c:pt idx="3">
                  <c:v>2017A</c:v>
                </c:pt>
                <c:pt idx="4">
                  <c:v>2018A</c:v>
                </c:pt>
                <c:pt idx="5">
                  <c:v>2019A</c:v>
                </c:pt>
                <c:pt idx="6">
                  <c:v>2020A</c:v>
                </c:pt>
                <c:pt idx="7">
                  <c:v>2021A</c:v>
                </c:pt>
                <c:pt idx="8">
                  <c:v>2022A</c:v>
                </c:pt>
                <c:pt idx="9">
                  <c:v>2023A</c:v>
                </c:pt>
                <c:pt idx="10">
                  <c:v>2024A</c:v>
                </c:pt>
                <c:pt idx="11">
                  <c:v>2025E</c:v>
                </c:pt>
                <c:pt idx="12">
                  <c:v>2026E</c:v>
                </c:pt>
                <c:pt idx="13">
                  <c:v>2027E</c:v>
                </c:pt>
                <c:pt idx="14">
                  <c:v>2028E</c:v>
                </c:pt>
                <c:pt idx="15">
                  <c:v>2029E</c:v>
                </c:pt>
              </c:strCache>
            </c:strRef>
          </c:cat>
          <c:val>
            <c:numRef>
              <c:f>Forecasting!$E$4:$E$18</c:f>
              <c:numCache>
                <c:formatCode>0.00%</c:formatCode>
                <c:ptCount val="15"/>
                <c:pt idx="1">
                  <c:v>8.1781879441260363E-2</c:v>
                </c:pt>
                <c:pt idx="2">
                  <c:v>0.20524225723987533</c:v>
                </c:pt>
                <c:pt idx="3">
                  <c:v>2.4289904922751182E-2</c:v>
                </c:pt>
                <c:pt idx="4">
                  <c:v>0.20140518002317886</c:v>
                </c:pt>
                <c:pt idx="5">
                  <c:v>0.20545304793871511</c:v>
                </c:pt>
                <c:pt idx="6">
                  <c:v>0.17506046485289484</c:v>
                </c:pt>
                <c:pt idx="7">
                  <c:v>0.28717333808481782</c:v>
                </c:pt>
                <c:pt idx="8">
                  <c:v>0.16861155365336278</c:v>
                </c:pt>
                <c:pt idx="9">
                  <c:v>0.12323450421105386</c:v>
                </c:pt>
                <c:pt idx="10">
                  <c:v>1.0197355623049464E-3</c:v>
                </c:pt>
                <c:pt idx="11">
                  <c:v>8.3827095811910723E-2</c:v>
                </c:pt>
                <c:pt idx="12">
                  <c:v>7.7343605945849436E-2</c:v>
                </c:pt>
                <c:pt idx="13">
                  <c:v>7.1791028896436071E-2</c:v>
                </c:pt>
                <c:pt idx="14">
                  <c:v>6.6982300617271839E-2</c:v>
                </c:pt>
              </c:numCache>
            </c:numRef>
          </c:val>
          <c:extLst>
            <c:ext xmlns:c16="http://schemas.microsoft.com/office/drawing/2014/chart" uri="{C3380CC4-5D6E-409C-BE32-E72D297353CC}">
              <c16:uniqueId val="{00000001-06F8-4C5C-BC4E-4A5B9E689FDB}"/>
            </c:ext>
          </c:extLst>
        </c:ser>
        <c:dLbls>
          <c:showLegendKey val="0"/>
          <c:showVal val="0"/>
          <c:showCatName val="0"/>
          <c:showSerName val="0"/>
          <c:showPercent val="0"/>
          <c:showBubbleSize val="0"/>
        </c:dLbls>
        <c:axId val="151812976"/>
        <c:axId val="151813456"/>
      </c:areaChart>
      <c:catAx>
        <c:axId val="1518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56"/>
        <c:crosses val="autoZero"/>
        <c:auto val="1"/>
        <c:lblAlgn val="ctr"/>
        <c:lblOffset val="100"/>
        <c:noMultiLvlLbl val="0"/>
      </c:catAx>
      <c:valAx>
        <c:axId val="15181345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r>
              <a:rPr lang="en-IN" sz="1400" b="0">
                <a:latin typeface="Aptos" panose="020B0004020202020204" pitchFamily="34" charset="0"/>
              </a:rPr>
              <a:t>EBITDA</a:t>
            </a:r>
            <a:r>
              <a:rPr lang="en-IN" sz="1400" b="0" baseline="0">
                <a:latin typeface="Aptos" panose="020B0004020202020204" pitchFamily="34" charset="0"/>
              </a:rPr>
              <a:t> Growth</a:t>
            </a:r>
            <a:endParaRPr lang="en-IN" sz="1400" b="0">
              <a:latin typeface="Aptos" panose="020B0004020202020204" pitchFamily="34" charset="0"/>
            </a:endParaRPr>
          </a:p>
        </c:rich>
      </c:tx>
      <c:layout>
        <c:manualLayout>
          <c:xMode val="edge"/>
          <c:yMode val="edge"/>
          <c:x val="0.37061193975860035"/>
          <c:y val="3.665148939672706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ptos" panose="020B0004020202020204" pitchFamily="34" charset="0"/>
              <a:ea typeface="+mn-ea"/>
              <a:cs typeface="+mn-cs"/>
            </a:defRPr>
          </a:pPr>
          <a:endParaRPr lang="en-IN"/>
        </a:p>
      </c:txPr>
    </c:title>
    <c:autoTitleDeleted val="0"/>
    <c:plotArea>
      <c:layout>
        <c:manualLayout>
          <c:layoutTarget val="inner"/>
          <c:xMode val="edge"/>
          <c:yMode val="edge"/>
          <c:x val="0.12165048118985126"/>
          <c:y val="0.17171296296296298"/>
          <c:w val="0.83177296587926508"/>
          <c:h val="0.55311315252260129"/>
        </c:manualLayout>
      </c:layout>
      <c:areaChart>
        <c:grouping val="standard"/>
        <c:varyColors val="0"/>
        <c:ser>
          <c:idx val="1"/>
          <c:order val="0"/>
          <c:tx>
            <c:strRef>
              <c:f>Forecasting!$I$2:$I$3</c:f>
              <c:strCache>
                <c:ptCount val="2"/>
                <c:pt idx="1">
                  <c:v>EBITDA</c:v>
                </c:pt>
              </c:strCache>
            </c:strRef>
          </c:tx>
          <c:spPr>
            <a:solidFill>
              <a:schemeClr val="accent3">
                <a:tint val="77000"/>
              </a:schemeClr>
            </a:solidFill>
            <a:ln>
              <a:noFill/>
            </a:ln>
            <a:effectLst/>
          </c:spPr>
          <c:trendline>
            <c:spPr>
              <a:ln w="19050" cap="rnd" cmpd="sng" algn="ctr">
                <a:solidFill>
                  <a:schemeClr val="accent2"/>
                </a:solidFill>
                <a:prstDash val="sysDot"/>
                <a:round/>
              </a:ln>
              <a:effectLst/>
            </c:spPr>
            <c:trendlineType val="linear"/>
            <c:dispRSqr val="0"/>
            <c:dispEq val="0"/>
          </c:trendline>
          <c:cat>
            <c:strRef>
              <c:f>Forecasting!$H$3:$H$18</c:f>
              <c:strCache>
                <c:ptCount val="16"/>
                <c:pt idx="0">
                  <c:v>Year</c:v>
                </c:pt>
                <c:pt idx="1">
                  <c:v>2015A</c:v>
                </c:pt>
                <c:pt idx="2">
                  <c:v>2016A</c:v>
                </c:pt>
                <c:pt idx="3">
                  <c:v>2017A</c:v>
                </c:pt>
                <c:pt idx="4">
                  <c:v>2018A</c:v>
                </c:pt>
                <c:pt idx="5">
                  <c:v>2019A</c:v>
                </c:pt>
                <c:pt idx="6">
                  <c:v>2020A</c:v>
                </c:pt>
                <c:pt idx="7">
                  <c:v>2021A</c:v>
                </c:pt>
                <c:pt idx="8">
                  <c:v>2022A</c:v>
                </c:pt>
                <c:pt idx="9">
                  <c:v>2023A</c:v>
                </c:pt>
                <c:pt idx="10">
                  <c:v>2024A</c:v>
                </c:pt>
                <c:pt idx="11">
                  <c:v>2025E</c:v>
                </c:pt>
                <c:pt idx="12">
                  <c:v>2026E</c:v>
                </c:pt>
                <c:pt idx="13">
                  <c:v>2027E</c:v>
                </c:pt>
                <c:pt idx="14">
                  <c:v>2028E</c:v>
                </c:pt>
                <c:pt idx="15">
                  <c:v>2029E</c:v>
                </c:pt>
              </c:strCache>
            </c:strRef>
          </c:cat>
          <c:val>
            <c:numRef>
              <c:f>Forecasting!$J$4:$J$18</c:f>
              <c:numCache>
                <c:formatCode>0.00%</c:formatCode>
                <c:ptCount val="15"/>
                <c:pt idx="1">
                  <c:v>8.1530900096734804E-2</c:v>
                </c:pt>
                <c:pt idx="2">
                  <c:v>0.20794029315162765</c:v>
                </c:pt>
                <c:pt idx="3">
                  <c:v>2.3023912901305454E-2</c:v>
                </c:pt>
                <c:pt idx="4">
                  <c:v>0.20109218567156417</c:v>
                </c:pt>
                <c:pt idx="5">
                  <c:v>0.20478533385294906</c:v>
                </c:pt>
                <c:pt idx="6">
                  <c:v>0.17237418561622841</c:v>
                </c:pt>
                <c:pt idx="7">
                  <c:v>0.28864911402235904</c:v>
                </c:pt>
                <c:pt idx="8">
                  <c:v>0.16905753853199279</c:v>
                </c:pt>
                <c:pt idx="9">
                  <c:v>0.12399815667186842</c:v>
                </c:pt>
                <c:pt idx="10">
                  <c:v>3.1368721022428936E-4</c:v>
                </c:pt>
                <c:pt idx="11">
                  <c:v>8.3782823622255975E-2</c:v>
                </c:pt>
                <c:pt idx="12">
                  <c:v>7.7305915720489615E-2</c:v>
                </c:pt>
                <c:pt idx="13">
                  <c:v>7.1758554921503404E-2</c:v>
                </c:pt>
                <c:pt idx="14">
                  <c:v>6.6954030450224966E-2</c:v>
                </c:pt>
              </c:numCache>
            </c:numRef>
          </c:val>
          <c:extLst>
            <c:ext xmlns:c16="http://schemas.microsoft.com/office/drawing/2014/chart" uri="{C3380CC4-5D6E-409C-BE32-E72D297353CC}">
              <c16:uniqueId val="{00000005-9D86-402A-BF59-9D28FCB0BA80}"/>
            </c:ext>
          </c:extLst>
        </c:ser>
        <c:ser>
          <c:idx val="0"/>
          <c:order val="1"/>
          <c:tx>
            <c:strRef>
              <c:f>Forecasting!$J$3</c:f>
              <c:strCache>
                <c:ptCount val="1"/>
                <c:pt idx="0">
                  <c:v>EBITDA Growth</c:v>
                </c:pt>
              </c:strCache>
            </c:strRef>
          </c:tx>
          <c:spPr>
            <a:solidFill>
              <a:schemeClr val="accent3">
                <a:shade val="76000"/>
              </a:schemeClr>
            </a:solidFill>
            <a:ln>
              <a:noFill/>
            </a:ln>
            <a:effectLst/>
          </c:spPr>
          <c:cat>
            <c:strRef>
              <c:f>Forecasting!$H$3:$H$18</c:f>
              <c:strCache>
                <c:ptCount val="16"/>
                <c:pt idx="0">
                  <c:v>Year</c:v>
                </c:pt>
                <c:pt idx="1">
                  <c:v>2015A</c:v>
                </c:pt>
                <c:pt idx="2">
                  <c:v>2016A</c:v>
                </c:pt>
                <c:pt idx="3">
                  <c:v>2017A</c:v>
                </c:pt>
                <c:pt idx="4">
                  <c:v>2018A</c:v>
                </c:pt>
                <c:pt idx="5">
                  <c:v>2019A</c:v>
                </c:pt>
                <c:pt idx="6">
                  <c:v>2020A</c:v>
                </c:pt>
                <c:pt idx="7">
                  <c:v>2021A</c:v>
                </c:pt>
                <c:pt idx="8">
                  <c:v>2022A</c:v>
                </c:pt>
                <c:pt idx="9">
                  <c:v>2023A</c:v>
                </c:pt>
                <c:pt idx="10">
                  <c:v>2024A</c:v>
                </c:pt>
                <c:pt idx="11">
                  <c:v>2025E</c:v>
                </c:pt>
                <c:pt idx="12">
                  <c:v>2026E</c:v>
                </c:pt>
                <c:pt idx="13">
                  <c:v>2027E</c:v>
                </c:pt>
                <c:pt idx="14">
                  <c:v>2028E</c:v>
                </c:pt>
                <c:pt idx="15">
                  <c:v>2029E</c:v>
                </c:pt>
              </c:strCache>
            </c:strRef>
          </c:cat>
          <c:val>
            <c:numRef>
              <c:f>Forecasting!$J$4:$J$18</c:f>
              <c:numCache>
                <c:formatCode>0.00%</c:formatCode>
                <c:ptCount val="15"/>
                <c:pt idx="1">
                  <c:v>8.1530900096734804E-2</c:v>
                </c:pt>
                <c:pt idx="2">
                  <c:v>0.20794029315162765</c:v>
                </c:pt>
                <c:pt idx="3">
                  <c:v>2.3023912901305454E-2</c:v>
                </c:pt>
                <c:pt idx="4">
                  <c:v>0.20109218567156417</c:v>
                </c:pt>
                <c:pt idx="5">
                  <c:v>0.20478533385294906</c:v>
                </c:pt>
                <c:pt idx="6">
                  <c:v>0.17237418561622841</c:v>
                </c:pt>
                <c:pt idx="7">
                  <c:v>0.28864911402235904</c:v>
                </c:pt>
                <c:pt idx="8">
                  <c:v>0.16905753853199279</c:v>
                </c:pt>
                <c:pt idx="9">
                  <c:v>0.12399815667186842</c:v>
                </c:pt>
                <c:pt idx="10">
                  <c:v>3.1368721022428936E-4</c:v>
                </c:pt>
                <c:pt idx="11">
                  <c:v>8.3782823622255975E-2</c:v>
                </c:pt>
                <c:pt idx="12">
                  <c:v>7.7305915720489615E-2</c:v>
                </c:pt>
                <c:pt idx="13">
                  <c:v>7.1758554921503404E-2</c:v>
                </c:pt>
                <c:pt idx="14">
                  <c:v>6.6954030450224966E-2</c:v>
                </c:pt>
              </c:numCache>
            </c:numRef>
          </c:val>
          <c:extLst>
            <c:ext xmlns:c16="http://schemas.microsoft.com/office/drawing/2014/chart" uri="{C3380CC4-5D6E-409C-BE32-E72D297353CC}">
              <c16:uniqueId val="{00000006-9D86-402A-BF59-9D28FCB0BA80}"/>
            </c:ext>
          </c:extLst>
        </c:ser>
        <c:dLbls>
          <c:showLegendKey val="0"/>
          <c:showVal val="0"/>
          <c:showCatName val="0"/>
          <c:showSerName val="0"/>
          <c:showPercent val="0"/>
          <c:showBubbleSize val="0"/>
        </c:dLbls>
        <c:axId val="151812976"/>
        <c:axId val="151813456"/>
      </c:areaChart>
      <c:catAx>
        <c:axId val="1518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56"/>
        <c:crosses val="autoZero"/>
        <c:auto val="1"/>
        <c:lblAlgn val="ctr"/>
        <c:lblOffset val="100"/>
        <c:noMultiLvlLbl val="0"/>
      </c:catAx>
      <c:valAx>
        <c:axId val="151813456"/>
        <c:scaling>
          <c:orientation val="minMax"/>
        </c:scaling>
        <c:delete val="0"/>
        <c:axPos val="l"/>
        <c:numFmt formatCode="0.0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2976"/>
        <c:crosses val="autoZero"/>
        <c:crossBetween val="midCat"/>
      </c:valAx>
      <c:spPr>
        <a:solidFill>
          <a:schemeClr val="bg1"/>
        </a:solidFill>
        <a:ln>
          <a:noFill/>
        </a:ln>
        <a:effectLst/>
      </c:spPr>
    </c:plotArea>
    <c:plotVisOnly val="1"/>
    <c:dispBlanksAs val="gap"/>
    <c:showDLblsOverMax val="0"/>
    <c:extLst/>
  </c:chart>
  <c:spPr>
    <a:solidFill>
      <a:schemeClr val="bg1"/>
    </a:solidFill>
    <a:ln w="6350" cap="flat" cmpd="sng" algn="ctr">
      <a:solidFill>
        <a:schemeClr val="accent5">
          <a:lumMod val="60000"/>
          <a:lumOff val="40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Net</a:t>
            </a:r>
            <a:r>
              <a:rPr lang="en-IN" b="1" baseline="0"/>
              <a:t> Profit Growth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165048118985126"/>
          <c:y val="0.17171296296296298"/>
          <c:w val="0.83177296587926508"/>
          <c:h val="0.55311315252260129"/>
        </c:manualLayout>
      </c:layout>
      <c:areaChart>
        <c:grouping val="standard"/>
        <c:varyColors val="0"/>
        <c:ser>
          <c:idx val="1"/>
          <c:order val="0"/>
          <c:tx>
            <c:strRef>
              <c:f>Forecasting!$O$2:$O$3</c:f>
              <c:strCache>
                <c:ptCount val="2"/>
                <c:pt idx="1">
                  <c:v>Net profit Growth</c:v>
                </c:pt>
              </c:strCache>
            </c:strRef>
          </c:tx>
          <c:spPr>
            <a:solidFill>
              <a:schemeClr val="accent2"/>
            </a:solidFill>
            <a:ln w="25400">
              <a:noFill/>
            </a:ln>
            <a:effectLst/>
          </c:spPr>
          <c:trendline>
            <c:spPr>
              <a:ln w="19050" cap="rnd">
                <a:solidFill>
                  <a:schemeClr val="accent2"/>
                </a:solidFill>
                <a:prstDash val="sysDot"/>
              </a:ln>
              <a:effectLst/>
            </c:spPr>
            <c:trendlineType val="linear"/>
            <c:dispRSqr val="0"/>
            <c:dispEq val="0"/>
          </c:trendline>
          <c:cat>
            <c:strRef>
              <c:f>Forecasting!$M$3:$M$18</c:f>
              <c:strCache>
                <c:ptCount val="16"/>
                <c:pt idx="0">
                  <c:v>Year</c:v>
                </c:pt>
                <c:pt idx="1">
                  <c:v>2015A</c:v>
                </c:pt>
                <c:pt idx="2">
                  <c:v>2016A</c:v>
                </c:pt>
                <c:pt idx="3">
                  <c:v>2017A</c:v>
                </c:pt>
                <c:pt idx="4">
                  <c:v>2018A</c:v>
                </c:pt>
                <c:pt idx="5">
                  <c:v>2019A</c:v>
                </c:pt>
                <c:pt idx="6">
                  <c:v>2020A</c:v>
                </c:pt>
                <c:pt idx="7">
                  <c:v>2021A</c:v>
                </c:pt>
                <c:pt idx="8">
                  <c:v>2022A</c:v>
                </c:pt>
                <c:pt idx="9">
                  <c:v>2023A</c:v>
                </c:pt>
                <c:pt idx="10">
                  <c:v>2024A</c:v>
                </c:pt>
                <c:pt idx="11">
                  <c:v>2025E</c:v>
                </c:pt>
                <c:pt idx="12">
                  <c:v>2026E</c:v>
                </c:pt>
                <c:pt idx="13">
                  <c:v>2027E</c:v>
                </c:pt>
                <c:pt idx="14">
                  <c:v>2028E</c:v>
                </c:pt>
                <c:pt idx="15">
                  <c:v>2029E</c:v>
                </c:pt>
              </c:strCache>
            </c:strRef>
          </c:cat>
          <c:val>
            <c:numRef>
              <c:f>Forecasting!$O$4:$O$18</c:f>
              <c:numCache>
                <c:formatCode>0.00%</c:formatCode>
                <c:ptCount val="15"/>
                <c:pt idx="1">
                  <c:v>0.11920084399314157</c:v>
                </c:pt>
                <c:pt idx="2">
                  <c:v>0.10029574992046619</c:v>
                </c:pt>
                <c:pt idx="3">
                  <c:v>1.200297705100609</c:v>
                </c:pt>
                <c:pt idx="4">
                  <c:v>9.7378641721744819E-2</c:v>
                </c:pt>
                <c:pt idx="5">
                  <c:v>0.41572420766917828</c:v>
                </c:pt>
                <c:pt idx="6">
                  <c:v>0.38346036609243428</c:v>
                </c:pt>
                <c:pt idx="7">
                  <c:v>0.3789969951065757</c:v>
                </c:pt>
                <c:pt idx="8">
                  <c:v>1.2698219818943812E-2</c:v>
                </c:pt>
                <c:pt idx="9">
                  <c:v>3.9718444146090048E-2</c:v>
                </c:pt>
                <c:pt idx="10">
                  <c:v>0.15041694543605777</c:v>
                </c:pt>
                <c:pt idx="11">
                  <c:v>0.1001655850317833</c:v>
                </c:pt>
                <c:pt idx="12">
                  <c:v>9.1045917446045177E-2</c:v>
                </c:pt>
                <c:pt idx="13">
                  <c:v>8.3448291213231718E-2</c:v>
                </c:pt>
                <c:pt idx="14">
                  <c:v>7.7021018806340269E-2</c:v>
                </c:pt>
              </c:numCache>
            </c:numRef>
          </c:val>
          <c:extLst>
            <c:ext xmlns:c16="http://schemas.microsoft.com/office/drawing/2014/chart" uri="{C3380CC4-5D6E-409C-BE32-E72D297353CC}">
              <c16:uniqueId val="{00000001-475E-4847-8D71-197F126A56CA}"/>
            </c:ext>
          </c:extLst>
        </c:ser>
        <c:ser>
          <c:idx val="0"/>
          <c:order val="1"/>
          <c:tx>
            <c:strRef>
              <c:f>Forecasting!$O$2:$O$3</c:f>
              <c:strCache>
                <c:ptCount val="2"/>
                <c:pt idx="1">
                  <c:v>Net profit Growth</c:v>
                </c:pt>
              </c:strCache>
            </c:strRef>
          </c:tx>
          <c:spPr>
            <a:solidFill>
              <a:schemeClr val="accent5">
                <a:lumMod val="60000"/>
                <a:lumOff val="40000"/>
              </a:schemeClr>
            </a:solidFill>
            <a:ln w="25400">
              <a:noFill/>
            </a:ln>
            <a:effectLst/>
          </c:spPr>
          <c:cat>
            <c:strRef>
              <c:f>Forecasting!$M$3:$M$18</c:f>
              <c:strCache>
                <c:ptCount val="16"/>
                <c:pt idx="0">
                  <c:v>Year</c:v>
                </c:pt>
                <c:pt idx="1">
                  <c:v>2015A</c:v>
                </c:pt>
                <c:pt idx="2">
                  <c:v>2016A</c:v>
                </c:pt>
                <c:pt idx="3">
                  <c:v>2017A</c:v>
                </c:pt>
                <c:pt idx="4">
                  <c:v>2018A</c:v>
                </c:pt>
                <c:pt idx="5">
                  <c:v>2019A</c:v>
                </c:pt>
                <c:pt idx="6">
                  <c:v>2020A</c:v>
                </c:pt>
                <c:pt idx="7">
                  <c:v>2021A</c:v>
                </c:pt>
                <c:pt idx="8">
                  <c:v>2022A</c:v>
                </c:pt>
                <c:pt idx="9">
                  <c:v>2023A</c:v>
                </c:pt>
                <c:pt idx="10">
                  <c:v>2024A</c:v>
                </c:pt>
                <c:pt idx="11">
                  <c:v>2025E</c:v>
                </c:pt>
                <c:pt idx="12">
                  <c:v>2026E</c:v>
                </c:pt>
                <c:pt idx="13">
                  <c:v>2027E</c:v>
                </c:pt>
                <c:pt idx="14">
                  <c:v>2028E</c:v>
                </c:pt>
                <c:pt idx="15">
                  <c:v>2029E</c:v>
                </c:pt>
              </c:strCache>
            </c:strRef>
          </c:cat>
          <c:val>
            <c:numRef>
              <c:f>Forecasting!$O$4:$O$18</c:f>
              <c:numCache>
                <c:formatCode>0.00%</c:formatCode>
                <c:ptCount val="15"/>
                <c:pt idx="1">
                  <c:v>0.11920084399314157</c:v>
                </c:pt>
                <c:pt idx="2">
                  <c:v>0.10029574992046619</c:v>
                </c:pt>
                <c:pt idx="3">
                  <c:v>1.200297705100609</c:v>
                </c:pt>
                <c:pt idx="4">
                  <c:v>9.7378641721744819E-2</c:v>
                </c:pt>
                <c:pt idx="5">
                  <c:v>0.41572420766917828</c:v>
                </c:pt>
                <c:pt idx="6">
                  <c:v>0.38346036609243428</c:v>
                </c:pt>
                <c:pt idx="7">
                  <c:v>0.3789969951065757</c:v>
                </c:pt>
                <c:pt idx="8">
                  <c:v>1.2698219818943812E-2</c:v>
                </c:pt>
                <c:pt idx="9">
                  <c:v>3.9718444146090048E-2</c:v>
                </c:pt>
                <c:pt idx="10">
                  <c:v>0.15041694543605777</c:v>
                </c:pt>
                <c:pt idx="11">
                  <c:v>0.1001655850317833</c:v>
                </c:pt>
                <c:pt idx="12">
                  <c:v>9.1045917446045177E-2</c:v>
                </c:pt>
                <c:pt idx="13">
                  <c:v>8.3448291213231718E-2</c:v>
                </c:pt>
                <c:pt idx="14">
                  <c:v>7.7021018806340269E-2</c:v>
                </c:pt>
              </c:numCache>
            </c:numRef>
          </c:val>
          <c:extLst>
            <c:ext xmlns:c16="http://schemas.microsoft.com/office/drawing/2014/chart" uri="{C3380CC4-5D6E-409C-BE32-E72D297353CC}">
              <c16:uniqueId val="{00000002-475E-4847-8D71-197F126A56CA}"/>
            </c:ext>
          </c:extLst>
        </c:ser>
        <c:dLbls>
          <c:showLegendKey val="0"/>
          <c:showVal val="0"/>
          <c:showCatName val="0"/>
          <c:showSerName val="0"/>
          <c:showPercent val="0"/>
          <c:showBubbleSize val="0"/>
        </c:dLbls>
        <c:axId val="151812976"/>
        <c:axId val="151813456"/>
      </c:areaChart>
      <c:catAx>
        <c:axId val="15181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3456"/>
        <c:crosses val="autoZero"/>
        <c:auto val="1"/>
        <c:lblAlgn val="ctr"/>
        <c:lblOffset val="100"/>
        <c:noMultiLvlLbl val="0"/>
      </c:catAx>
      <c:valAx>
        <c:axId val="15181345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1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238125</xdr:colOff>
      <xdr:row>0</xdr:row>
      <xdr:rowOff>152400</xdr:rowOff>
    </xdr:from>
    <xdr:ext cx="10725150" cy="6486525"/>
    <xdr:sp macro="" textlink="">
      <xdr:nvSpPr>
        <xdr:cNvPr id="2" name="TextBox 1">
          <a:extLst>
            <a:ext uri="{FF2B5EF4-FFF2-40B4-BE49-F238E27FC236}">
              <a16:creationId xmlns:a16="http://schemas.microsoft.com/office/drawing/2014/main" id="{6A043023-47D9-A01B-BF51-B21832A828CF}"/>
            </a:ext>
          </a:extLst>
        </xdr:cNvPr>
        <xdr:cNvSpPr txBox="1"/>
      </xdr:nvSpPr>
      <xdr:spPr>
        <a:xfrm>
          <a:off x="238125" y="152400"/>
          <a:ext cx="10725150" cy="6486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t>Developed a dynamic financial model for Indian Railway Finance Corporation Ltd. (IRFC) using publicly available data from Screener.in, where listed companies disclose their annual financial statements. The model was entirely built in Microsoft Excel, designed for scalability, accuracy, and efficiency in financial analysis.</a:t>
          </a:r>
        </a:p>
        <a:p>
          <a:endParaRPr lang="en-IN" sz="1600"/>
        </a:p>
        <a:p>
          <a:r>
            <a:rPr lang="en-IN" sz="1600"/>
            <a:t>The model integrates three core financial statements—Income Statement, Balance Sheet, and Cash Flow Statement—spanning 10 years of historical data to analyze long-term trends and performance. This foundation supports deeper financial evaluation and acts as the base for forecasting models.</a:t>
          </a:r>
        </a:p>
        <a:p>
          <a:endParaRPr lang="en-IN" sz="1600"/>
        </a:p>
        <a:p>
          <a:r>
            <a:rPr lang="en-IN" sz="1600"/>
            <a:t>Performed comprehensive ratio analysis covering key profitability, liquidity, solvency, and efficiency metrics to assess the company’s financial health. Created common-size statements to facilitate cross-period and peer comparative analysis, offering a consistent view of financial proportions and structure.</a:t>
          </a:r>
        </a:p>
        <a:p>
          <a:endParaRPr lang="en-IN" sz="1600"/>
        </a:p>
        <a:p>
          <a:r>
            <a:rPr lang="en-IN" sz="1600"/>
            <a:t>Implemented a forecasting framework that predicts future sales, EBITDA, and net profit based on historical patterns using linear regression modeling. The algorithm assigns higher weightage to recent years to ensure reliable, trend-aligned projections reflecting current performance dynamics.</a:t>
          </a:r>
        </a:p>
        <a:p>
          <a:endParaRPr lang="en-IN" sz="1600"/>
        </a:p>
        <a:p>
          <a:r>
            <a:rPr lang="en-IN" sz="1600"/>
            <a:t>A key feature of this project is its dynamic adaptability — the model does not require rebuilding for each company. Once the Excel template is uploaded and linked with the Screener platform, users can simply search any listed company and export its financial data, automatically generating a complete, formatted model ready for analysis.</a:t>
          </a:r>
        </a:p>
        <a:p>
          <a:endParaRPr lang="en-IN" sz="1600"/>
        </a:p>
        <a:p>
          <a:r>
            <a:rPr lang="en-IN" sz="1600"/>
            <a:t>This project demonstrates strong expertise in financial modeling, automation, data analytics, and forecasting, reflecting the ability to create efficient, reusable financial tools that streamline analysis and decision-making for multiple companies across industries.</a:t>
          </a:r>
        </a:p>
        <a:p>
          <a:endParaRPr lang="en-IN" sz="1600"/>
        </a:p>
        <a:p>
          <a:r>
            <a:rPr lang="en-IN" sz="1600"/>
            <a:t>Mentor:- </a:t>
          </a:r>
          <a:r>
            <a:rPr lang="en-IN" sz="1600" b="1"/>
            <a:t>The Valuation School</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100661</xdr:colOff>
      <xdr:row>19</xdr:row>
      <xdr:rowOff>57150</xdr:rowOff>
    </xdr:from>
    <xdr:to>
      <xdr:col>5</xdr:col>
      <xdr:colOff>10824</xdr:colOff>
      <xdr:row>31</xdr:row>
      <xdr:rowOff>162359</xdr:rowOff>
    </xdr:to>
    <xdr:graphicFrame macro="">
      <xdr:nvGraphicFramePr>
        <xdr:cNvPr id="4" name="Chart 3">
          <a:extLst>
            <a:ext uri="{FF2B5EF4-FFF2-40B4-BE49-F238E27FC236}">
              <a16:creationId xmlns:a16="http://schemas.microsoft.com/office/drawing/2014/main" id="{8B4732B3-2CB1-8E97-257F-FC2B0E1AA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64943</xdr:colOff>
      <xdr:row>19</xdr:row>
      <xdr:rowOff>64944</xdr:rowOff>
    </xdr:from>
    <xdr:to>
      <xdr:col>10</xdr:col>
      <xdr:colOff>10823</xdr:colOff>
      <xdr:row>31</xdr:row>
      <xdr:rowOff>162358</xdr:rowOff>
    </xdr:to>
    <xdr:graphicFrame macro="">
      <xdr:nvGraphicFramePr>
        <xdr:cNvPr id="5" name="Chart 4">
          <a:extLst>
            <a:ext uri="{FF2B5EF4-FFF2-40B4-BE49-F238E27FC236}">
              <a16:creationId xmlns:a16="http://schemas.microsoft.com/office/drawing/2014/main" id="{486C4741-2148-4BB3-8F86-A2626DD4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180119</xdr:colOff>
      <xdr:row>19</xdr:row>
      <xdr:rowOff>48568</xdr:rowOff>
    </xdr:from>
    <xdr:to>
      <xdr:col>14</xdr:col>
      <xdr:colOff>1392116</xdr:colOff>
      <xdr:row>31</xdr:row>
      <xdr:rowOff>154333</xdr:rowOff>
    </xdr:to>
    <xdr:graphicFrame macro="">
      <xdr:nvGraphicFramePr>
        <xdr:cNvPr id="6" name="Chart 5">
          <a:extLst>
            <a:ext uri="{FF2B5EF4-FFF2-40B4-BE49-F238E27FC236}">
              <a16:creationId xmlns:a16="http://schemas.microsoft.com/office/drawing/2014/main" id="{21C12F2F-80EE-48E4-813A-38340E821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D057-FFE7-48FC-A115-AC6236977F10}">
  <dimension ref="A1"/>
  <sheetViews>
    <sheetView showGridLines="0" workbookViewId="0">
      <selection activeCell="J39" sqref="J39"/>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254E-C104-447F-9F1C-5B9995187B96}">
  <sheetPr>
    <tabColor rgb="FF002060"/>
  </sheetPr>
  <dimension ref="A1"/>
  <sheetViews>
    <sheetView workbookViewId="0">
      <selection activeCell="C28" sqref="C28"/>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A193-EA89-4D46-9F9D-D853C6B7D1A2}">
  <dimension ref="A2:O89"/>
  <sheetViews>
    <sheetView showGridLines="0" tabSelected="1" workbookViewId="0">
      <pane ySplit="3" topLeftCell="A26" activePane="bottomLeft" state="frozen"/>
      <selection pane="bottomLeft" activeCell="C37" sqref="C37"/>
    </sheetView>
  </sheetViews>
  <sheetFormatPr defaultRowHeight="15"/>
  <cols>
    <col min="1" max="1" width="1.85546875" customWidth="1"/>
    <col min="2" max="2" width="29" customWidth="1"/>
    <col min="3" max="13" width="12.7109375" customWidth="1"/>
  </cols>
  <sheetData>
    <row r="2" spans="1:15">
      <c r="B2" s="53" t="str">
        <f>"Historical Financial Statements - "&amp;'Data Sheet'!B1</f>
        <v>Historical Financial Statements - INDIAN RAILWAY FINANCE CORPORATION LTD</v>
      </c>
      <c r="C2" s="53"/>
      <c r="D2" s="53"/>
      <c r="E2" s="53"/>
      <c r="F2" s="53"/>
      <c r="G2" s="53"/>
      <c r="H2" s="53"/>
      <c r="I2" s="53"/>
      <c r="J2" s="53"/>
      <c r="K2" s="53"/>
      <c r="L2" s="53"/>
      <c r="M2" s="53"/>
    </row>
    <row r="3" spans="1:15">
      <c r="B3" s="9" t="s">
        <v>0</v>
      </c>
      <c r="C3" s="10">
        <f>'Data Sheet'!B16</f>
        <v>42094</v>
      </c>
      <c r="D3" s="10">
        <f>'Data Sheet'!C16</f>
        <v>42460</v>
      </c>
      <c r="E3" s="10">
        <f>'Data Sheet'!D16</f>
        <v>42825</v>
      </c>
      <c r="F3" s="10">
        <f>'Data Sheet'!E16</f>
        <v>43190</v>
      </c>
      <c r="G3" s="10">
        <f>'Data Sheet'!F16</f>
        <v>43555</v>
      </c>
      <c r="H3" s="10">
        <f>'Data Sheet'!G16</f>
        <v>43921</v>
      </c>
      <c r="I3" s="10">
        <f>'Data Sheet'!H16</f>
        <v>44286</v>
      </c>
      <c r="J3" s="10">
        <f>'Data Sheet'!I16</f>
        <v>44651</v>
      </c>
      <c r="K3" s="10">
        <f>'Data Sheet'!J16</f>
        <v>45016</v>
      </c>
      <c r="L3" s="10">
        <f>'Data Sheet'!K16</f>
        <v>45382</v>
      </c>
      <c r="M3" s="11" t="s">
        <v>1</v>
      </c>
      <c r="N3" s="8"/>
      <c r="O3" s="8"/>
    </row>
    <row r="4" spans="1:15">
      <c r="D4" t="s">
        <v>2</v>
      </c>
    </row>
    <row r="5" spans="1:15">
      <c r="A5" t="s">
        <v>3</v>
      </c>
      <c r="B5" s="12" t="s">
        <v>4</v>
      </c>
      <c r="C5" s="12"/>
      <c r="D5" s="12"/>
      <c r="E5" s="12"/>
      <c r="F5" s="12"/>
      <c r="G5" s="12"/>
      <c r="H5" s="12"/>
      <c r="I5" s="12"/>
      <c r="J5" s="12"/>
      <c r="K5" s="12"/>
      <c r="L5" s="12"/>
      <c r="M5" s="12"/>
    </row>
    <row r="7" spans="1:15">
      <c r="B7" t="s">
        <v>5</v>
      </c>
      <c r="C7" s="29">
        <f>IFERROR('Data Sheet'!B17,0)</f>
        <v>6939.19</v>
      </c>
      <c r="D7" s="29">
        <f>IFERROR('Data Sheet'!C17,0)</f>
        <v>7506.69</v>
      </c>
      <c r="E7" s="29">
        <f>IFERROR('Data Sheet'!D17,0)</f>
        <v>9047.3799999999992</v>
      </c>
      <c r="F7" s="29">
        <f>IFERROR('Data Sheet'!E17,0)</f>
        <v>9267.14</v>
      </c>
      <c r="G7" s="29">
        <f>IFERROR('Data Sheet'!F17,0)</f>
        <v>11133.59</v>
      </c>
      <c r="H7" s="29">
        <f>IFERROR('Data Sheet'!G17,0)</f>
        <v>13421.02</v>
      </c>
      <c r="I7" s="29">
        <f>IFERROR('Data Sheet'!H17,0)</f>
        <v>15770.51</v>
      </c>
      <c r="J7" s="29">
        <f>IFERROR('Data Sheet'!I17,0)</f>
        <v>20299.38</v>
      </c>
      <c r="K7" s="29">
        <f>IFERROR('Data Sheet'!J17,0)</f>
        <v>23722.09</v>
      </c>
      <c r="L7" s="29">
        <f>IFERROR('Data Sheet'!K17,0)</f>
        <v>26645.47</v>
      </c>
      <c r="M7" s="29">
        <f>IFERROR(SUM('Data Sheet'!H42:K42),0)</f>
        <v>26742.420000000002</v>
      </c>
    </row>
    <row r="8" spans="1:15">
      <c r="B8" s="13" t="s">
        <v>6</v>
      </c>
      <c r="C8" s="14">
        <v>0</v>
      </c>
      <c r="D8" s="14">
        <f>D7/C7-1</f>
        <v>8.1781879441260363E-2</v>
      </c>
      <c r="E8" s="14">
        <f t="shared" ref="E8:M8" si="0">E7/D7-1</f>
        <v>0.20524225723987533</v>
      </c>
      <c r="F8" s="14">
        <f t="shared" si="0"/>
        <v>2.4289904922751182E-2</v>
      </c>
      <c r="G8" s="14">
        <f t="shared" si="0"/>
        <v>0.20140518002317886</v>
      </c>
      <c r="H8" s="14">
        <f t="shared" si="0"/>
        <v>0.20545304793871511</v>
      </c>
      <c r="I8" s="14">
        <f t="shared" si="0"/>
        <v>0.17506046485289484</v>
      </c>
      <c r="J8" s="14">
        <f t="shared" si="0"/>
        <v>0.28717333808481782</v>
      </c>
      <c r="K8" s="14">
        <f t="shared" si="0"/>
        <v>0.16861155365336278</v>
      </c>
      <c r="L8" s="14">
        <f t="shared" si="0"/>
        <v>0.12323450421105386</v>
      </c>
      <c r="M8" s="14">
        <f t="shared" si="0"/>
        <v>3.6385171663326776E-3</v>
      </c>
    </row>
    <row r="9" spans="1:15">
      <c r="D9" t="s">
        <v>2</v>
      </c>
      <c r="K9" t="s">
        <v>2</v>
      </c>
    </row>
    <row r="10" spans="1:15">
      <c r="B10" t="s">
        <v>7</v>
      </c>
      <c r="C10" s="29">
        <f>IFERROR(SUM('Data Sheet'!B18,'Data Sheet'!B20:B22)*1-'Data Sheet'!B19,0)</f>
        <v>3.31</v>
      </c>
      <c r="D10" s="29">
        <f>IFERROR(SUM('Data Sheet'!C18,'Data Sheet'!C20:C22)*1-'Data Sheet'!C19,0)</f>
        <v>4.29</v>
      </c>
      <c r="E10" s="29">
        <f>IFERROR(SUM('Data Sheet'!D18,'Data Sheet'!D20:D22)*1-'Data Sheet'!D19,0)</f>
        <v>3.22</v>
      </c>
      <c r="F10" s="29">
        <f>IFERROR(SUM('Data Sheet'!E18,'Data Sheet'!E20:E22)*1-'Data Sheet'!E19,0)</f>
        <v>5.7700000000000005</v>
      </c>
      <c r="G10" s="29">
        <f>IFERROR(SUM('Data Sheet'!F18,'Data Sheet'!F20:F22)*1-'Data Sheet'!F19,0)</f>
        <v>6.6899999999999995</v>
      </c>
      <c r="H10" s="29">
        <f>IFERROR(SUM('Data Sheet'!G18,'Data Sheet'!G20:G22)*1-'Data Sheet'!G19,0)</f>
        <v>8.84</v>
      </c>
      <c r="I10" s="29">
        <f>IFERROR(SUM('Data Sheet'!H18,'Data Sheet'!H20:H22)*1-'Data Sheet'!H19,0)</f>
        <v>10.870000000000001</v>
      </c>
      <c r="J10" s="29">
        <f>IFERROR(SUM('Data Sheet'!I18,'Data Sheet'!I20:I22)*1-'Data Sheet'!I19,0)</f>
        <v>15.28</v>
      </c>
      <c r="K10" s="29">
        <f>IFERROR(SUM('Data Sheet'!J18,'Data Sheet'!J20:J22)*1-'Data Sheet'!J19,0)</f>
        <v>17.399999999999999</v>
      </c>
      <c r="L10" s="29">
        <f>IFERROR(SUM('Data Sheet'!K18,'Data Sheet'!K20:K22)*1-'Data Sheet'!K19,0)</f>
        <v>15.56</v>
      </c>
      <c r="M10" s="29">
        <f>IFERROR(SUM('Data Sheet'!H43:K43),0)</f>
        <v>136.35</v>
      </c>
    </row>
    <row r="11" spans="1:15">
      <c r="B11" s="13" t="s">
        <v>8</v>
      </c>
      <c r="C11" s="14">
        <f>C10/C7</f>
        <v>4.7700091797457634E-4</v>
      </c>
      <c r="D11" s="14">
        <f t="shared" ref="D11:M11" si="1">D10/D7</f>
        <v>5.7149023071420297E-4</v>
      </c>
      <c r="E11" s="14">
        <f t="shared" si="1"/>
        <v>3.5590414020412542E-4</v>
      </c>
      <c r="F11" s="14">
        <f t="shared" si="1"/>
        <v>6.2263006709729223E-4</v>
      </c>
      <c r="G11" s="14">
        <f t="shared" si="1"/>
        <v>6.0088435086975533E-4</v>
      </c>
      <c r="H11" s="14">
        <f t="shared" si="1"/>
        <v>6.5866826813461266E-4</v>
      </c>
      <c r="I11" s="14">
        <f t="shared" si="1"/>
        <v>6.8926115896061706E-4</v>
      </c>
      <c r="J11" s="14">
        <f t="shared" si="1"/>
        <v>7.5273234946091939E-4</v>
      </c>
      <c r="K11" s="14">
        <f t="shared" si="1"/>
        <v>7.3349354968301687E-4</v>
      </c>
      <c r="L11" s="14">
        <f t="shared" si="1"/>
        <v>5.8396417852640619E-4</v>
      </c>
      <c r="M11" s="14">
        <f t="shared" si="1"/>
        <v>5.098641035478464E-3</v>
      </c>
    </row>
    <row r="12" spans="1:15">
      <c r="B12" t="s">
        <v>2</v>
      </c>
    </row>
    <row r="13" spans="1:15">
      <c r="B13" s="35" t="s">
        <v>9</v>
      </c>
      <c r="C13" s="36">
        <f>C7-C10</f>
        <v>6935.8799999999992</v>
      </c>
      <c r="D13" s="36">
        <f t="shared" ref="D13:M13" si="2">D7-D10</f>
        <v>7502.4</v>
      </c>
      <c r="E13" s="36">
        <f t="shared" si="2"/>
        <v>9044.16</v>
      </c>
      <c r="F13" s="36">
        <f t="shared" si="2"/>
        <v>9261.369999999999</v>
      </c>
      <c r="G13" s="36">
        <f t="shared" si="2"/>
        <v>11126.9</v>
      </c>
      <c r="H13" s="36">
        <f t="shared" si="2"/>
        <v>13412.18</v>
      </c>
      <c r="I13" s="36">
        <f t="shared" si="2"/>
        <v>15759.64</v>
      </c>
      <c r="J13" s="36">
        <f t="shared" si="2"/>
        <v>20284.100000000002</v>
      </c>
      <c r="K13" s="36">
        <f t="shared" si="2"/>
        <v>23704.69</v>
      </c>
      <c r="L13" s="36">
        <f t="shared" si="2"/>
        <v>26629.91</v>
      </c>
      <c r="M13" s="36">
        <f t="shared" si="2"/>
        <v>26606.070000000003</v>
      </c>
    </row>
    <row r="14" spans="1:15">
      <c r="B14" s="13" t="s">
        <v>10</v>
      </c>
      <c r="C14" s="14">
        <f>C13/C7</f>
        <v>0.99952299908202535</v>
      </c>
      <c r="D14" s="14">
        <f t="shared" ref="D14:M14" si="3">D13/D7</f>
        <v>0.99942850976928577</v>
      </c>
      <c r="E14" s="14">
        <f t="shared" si="3"/>
        <v>0.99964409585979597</v>
      </c>
      <c r="F14" s="14">
        <f t="shared" si="3"/>
        <v>0.99937736993290271</v>
      </c>
      <c r="G14" s="14">
        <f t="shared" si="3"/>
        <v>0.9993991156491302</v>
      </c>
      <c r="H14" s="14">
        <f t="shared" si="3"/>
        <v>0.99934133173186535</v>
      </c>
      <c r="I14" s="14">
        <f t="shared" si="3"/>
        <v>0.99931073884103938</v>
      </c>
      <c r="J14" s="14">
        <f t="shared" si="3"/>
        <v>0.99924726765053917</v>
      </c>
      <c r="K14" s="14">
        <f t="shared" si="3"/>
        <v>0.99926650645031689</v>
      </c>
      <c r="L14" s="14">
        <f t="shared" si="3"/>
        <v>0.99941603582147354</v>
      </c>
      <c r="M14" s="14">
        <f t="shared" si="3"/>
        <v>0.99490135896452159</v>
      </c>
    </row>
    <row r="15" spans="1:15">
      <c r="B15" t="s">
        <v>2</v>
      </c>
    </row>
    <row r="16" spans="1:15">
      <c r="B16" t="s">
        <v>11</v>
      </c>
      <c r="C16" s="29">
        <f>IFERROR(SUM('Data Sheet'!B23:B24),0)</f>
        <v>30.4</v>
      </c>
      <c r="D16" s="29">
        <f>IFERROR(SUM('Data Sheet'!C23:C24),0)</f>
        <v>33.910000000000004</v>
      </c>
      <c r="E16" s="29">
        <f>IFERROR(SUM('Data Sheet'!D23:D24),0)</f>
        <v>22.67</v>
      </c>
      <c r="F16" s="29">
        <f>IFERROR(SUM('Data Sheet'!E23:E24),0)</f>
        <v>32.17</v>
      </c>
      <c r="G16" s="29">
        <f>IFERROR(SUM('Data Sheet'!F23:F24),0)</f>
        <v>41.78</v>
      </c>
      <c r="H16" s="29">
        <f>IFERROR(SUM('Data Sheet'!G23:G24),0)</f>
        <v>56.989999999999995</v>
      </c>
      <c r="I16" s="29">
        <f>IFERROR(SUM('Data Sheet'!H23:H24),0)</f>
        <v>102.36</v>
      </c>
      <c r="J16" s="29">
        <f>IFERROR(SUM('Data Sheet'!I23:I24),0)</f>
        <v>107.36</v>
      </c>
      <c r="K16" s="29">
        <f>IFERROR(SUM('Data Sheet'!J23:J24),0)</f>
        <v>116.92</v>
      </c>
      <c r="L16" s="29">
        <f>IFERROR(SUM('Data Sheet'!K23:K24),0)</f>
        <v>117.3</v>
      </c>
    </row>
    <row r="17" spans="2:13">
      <c r="B17" s="13" t="s">
        <v>12</v>
      </c>
      <c r="C17" s="14">
        <f>C16/C7</f>
        <v>4.3809147753556248E-3</v>
      </c>
      <c r="D17" s="14">
        <f t="shared" ref="D17:L17" si="4">D16/D7</f>
        <v>4.5173038982560896E-3</v>
      </c>
      <c r="E17" s="14">
        <f t="shared" si="4"/>
        <v>2.5056977821203493E-3</v>
      </c>
      <c r="F17" s="14">
        <f t="shared" si="4"/>
        <v>3.4714054174211249E-3</v>
      </c>
      <c r="G17" s="14">
        <f t="shared" si="4"/>
        <v>3.7526080985558117E-3</v>
      </c>
      <c r="H17" s="14">
        <f t="shared" si="4"/>
        <v>4.2463240498859245E-3</v>
      </c>
      <c r="I17" s="14">
        <f t="shared" si="4"/>
        <v>6.4905954214543472E-3</v>
      </c>
      <c r="J17" s="14">
        <f t="shared" si="4"/>
        <v>5.288831481552638E-3</v>
      </c>
      <c r="K17" s="14">
        <f t="shared" si="4"/>
        <v>4.9287394154562264E-3</v>
      </c>
      <c r="L17" s="14">
        <f t="shared" si="4"/>
        <v>4.4022492378629459E-3</v>
      </c>
      <c r="M17" s="14"/>
    </row>
    <row r="18" spans="2:13">
      <c r="B18" s="13"/>
      <c r="C18" s="14"/>
      <c r="D18" s="14"/>
      <c r="E18" s="14"/>
      <c r="F18" s="14"/>
      <c r="G18" s="14"/>
      <c r="H18" s="14"/>
      <c r="I18" s="14"/>
      <c r="J18" s="14"/>
      <c r="K18" s="14"/>
      <c r="L18" s="14"/>
      <c r="M18" s="14"/>
    </row>
    <row r="19" spans="2:13">
      <c r="B19" t="s">
        <v>13</v>
      </c>
      <c r="C19" s="29">
        <f>IFERROR('Data Sheet'!B25,0)</f>
        <v>0.97</v>
      </c>
      <c r="D19" s="29">
        <f>IFERROR('Data Sheet'!C25,0)</f>
        <v>0.61</v>
      </c>
      <c r="E19" s="29">
        <f>IFERROR('Data Sheet'!D25,0)</f>
        <v>0.26</v>
      </c>
      <c r="F19" s="29">
        <f>IFERROR('Data Sheet'!E25,0)</f>
        <v>1.23</v>
      </c>
      <c r="G19" s="29">
        <f>IFERROR('Data Sheet'!F25,0)</f>
        <v>-0.02</v>
      </c>
      <c r="H19" s="29">
        <f>IFERROR('Data Sheet'!G25,0)</f>
        <v>0.06</v>
      </c>
      <c r="I19" s="29">
        <f>IFERROR('Data Sheet'!H25,0)</f>
        <v>0.33</v>
      </c>
      <c r="J19" s="29">
        <f>IFERROR('Data Sheet'!I25,0)</f>
        <v>2.2200000000000002</v>
      </c>
      <c r="K19" s="29">
        <f>IFERROR('Data Sheet'!J25,0)</f>
        <v>40.659999999999997</v>
      </c>
      <c r="L19" s="29">
        <f>IFERROR('Data Sheet'!K25,0)</f>
        <v>10.41</v>
      </c>
      <c r="M19" s="29">
        <f>IFERROR(SUM('Data Sheet'!H44:K44),0)</f>
        <v>9.09</v>
      </c>
    </row>
    <row r="20" spans="2:13">
      <c r="B20" s="13" t="s">
        <v>14</v>
      </c>
      <c r="C20" s="14">
        <f>C19/C7</f>
        <v>1.3978576750312357E-4</v>
      </c>
      <c r="D20" s="14">
        <f t="shared" ref="D20:M20" si="5">D19/D7</f>
        <v>8.1260848656331886E-5</v>
      </c>
      <c r="E20" s="14">
        <f t="shared" si="5"/>
        <v>2.8737601382941807E-5</v>
      </c>
      <c r="F20" s="14">
        <f t="shared" si="5"/>
        <v>1.3272703336736038E-4</v>
      </c>
      <c r="G20" s="14">
        <f t="shared" si="5"/>
        <v>-1.7963657724058457E-6</v>
      </c>
      <c r="H20" s="14">
        <f t="shared" si="5"/>
        <v>4.4705991049860592E-6</v>
      </c>
      <c r="I20" s="14">
        <f t="shared" si="5"/>
        <v>2.0925131780773103E-5</v>
      </c>
      <c r="J20" s="14">
        <f t="shared" si="5"/>
        <v>1.0936294606042156E-4</v>
      </c>
      <c r="K20" s="14">
        <f t="shared" si="5"/>
        <v>1.714014237362728E-3</v>
      </c>
      <c r="L20" s="14">
        <f t="shared" si="5"/>
        <v>3.9068554617351466E-4</v>
      </c>
      <c r="M20" s="14">
        <f t="shared" si="5"/>
        <v>3.3990940236523092E-4</v>
      </c>
    </row>
    <row r="21" spans="2:13">
      <c r="B21" t="s">
        <v>2</v>
      </c>
    </row>
    <row r="22" spans="2:13">
      <c r="B22" s="35" t="s">
        <v>15</v>
      </c>
      <c r="C22" s="36">
        <f>C13-C16</f>
        <v>6905.48</v>
      </c>
      <c r="D22" s="36">
        <f t="shared" ref="D22:L22" si="6">D13-D16</f>
        <v>7468.49</v>
      </c>
      <c r="E22" s="36">
        <f t="shared" si="6"/>
        <v>9021.49</v>
      </c>
      <c r="F22" s="36">
        <f t="shared" si="6"/>
        <v>9229.1999999999989</v>
      </c>
      <c r="G22" s="36">
        <f t="shared" si="6"/>
        <v>11085.119999999999</v>
      </c>
      <c r="H22" s="36">
        <f t="shared" si="6"/>
        <v>13355.19</v>
      </c>
      <c r="I22" s="36">
        <f t="shared" si="6"/>
        <v>15657.279999999999</v>
      </c>
      <c r="J22" s="36">
        <f t="shared" si="6"/>
        <v>20176.740000000002</v>
      </c>
      <c r="K22" s="36">
        <f t="shared" si="6"/>
        <v>23587.77</v>
      </c>
      <c r="L22" s="36">
        <f t="shared" si="6"/>
        <v>26512.61</v>
      </c>
      <c r="M22" s="36">
        <f t="shared" ref="M22" si="7">M13-M16+M19</f>
        <v>26615.160000000003</v>
      </c>
    </row>
    <row r="23" spans="2:13">
      <c r="B23" s="13" t="s">
        <v>16</v>
      </c>
      <c r="C23" s="14">
        <f>C22/C7</f>
        <v>0.99514208430666984</v>
      </c>
      <c r="D23" s="14">
        <f t="shared" ref="D23:L23" si="8">D22/D7</f>
        <v>0.99491120587102977</v>
      </c>
      <c r="E23" s="14">
        <f t="shared" si="8"/>
        <v>0.99713839807767557</v>
      </c>
      <c r="F23" s="14">
        <f t="shared" si="8"/>
        <v>0.99590596451548152</v>
      </c>
      <c r="G23" s="14">
        <f t="shared" si="8"/>
        <v>0.99564650755057438</v>
      </c>
      <c r="H23" s="14">
        <f t="shared" si="8"/>
        <v>0.99509500768197945</v>
      </c>
      <c r="I23" s="14">
        <f t="shared" si="8"/>
        <v>0.99282014341958491</v>
      </c>
      <c r="J23" s="14">
        <f t="shared" si="8"/>
        <v>0.99395843616898649</v>
      </c>
      <c r="K23" s="14">
        <f t="shared" si="8"/>
        <v>0.99433776703486076</v>
      </c>
      <c r="L23" s="14">
        <f t="shared" si="8"/>
        <v>0.99501378658361062</v>
      </c>
      <c r="M23" s="14">
        <f t="shared" ref="M23" si="9">M22/M7</f>
        <v>0.99524126836688687</v>
      </c>
    </row>
    <row r="24" spans="2:13">
      <c r="B24" t="s">
        <v>2</v>
      </c>
    </row>
    <row r="25" spans="2:13">
      <c r="B25" t="s">
        <v>17</v>
      </c>
      <c r="C25" s="29">
        <f>IFERROR('Data Sheet'!B27,0)</f>
        <v>4991.83</v>
      </c>
      <c r="D25" s="29">
        <f>IFERROR('Data Sheet'!C27,0)</f>
        <v>5518.84</v>
      </c>
      <c r="E25" s="29">
        <f>IFERROR('Data Sheet'!D27,0)</f>
        <v>6888.13</v>
      </c>
      <c r="F25" s="29">
        <f>IFERROR('Data Sheet'!E27,0)</f>
        <v>6637.59</v>
      </c>
      <c r="G25" s="29">
        <f>IFERROR('Data Sheet'!F27,0)</f>
        <v>8183.1</v>
      </c>
      <c r="H25" s="29">
        <f>IFERROR('Data Sheet'!G27,0)</f>
        <v>10162.700000000001</v>
      </c>
      <c r="I25" s="29">
        <f>IFERROR('Data Sheet'!H27,0)</f>
        <v>11237.05</v>
      </c>
      <c r="J25" s="29">
        <f>IFERROR('Data Sheet'!I27,0)</f>
        <v>14074.78</v>
      </c>
      <c r="K25" s="29">
        <f>IFERROR('Data Sheet'!J27,0)</f>
        <v>17447.21</v>
      </c>
      <c r="L25" s="29">
        <f>IFERROR('Data Sheet'!K27,0)</f>
        <v>20101.47</v>
      </c>
      <c r="M25" s="29">
        <f>IFERROR(SUM('Data Sheet'!H46:K46),0)</f>
        <v>20165.41</v>
      </c>
    </row>
    <row r="26" spans="2:13">
      <c r="B26" s="13" t="s">
        <v>18</v>
      </c>
      <c r="C26" s="14">
        <f>C25/C7</f>
        <v>0.71936782246919317</v>
      </c>
      <c r="D26" s="14">
        <f t="shared" ref="D26:M26" si="10">D25/D7</f>
        <v>0.73518954425985361</v>
      </c>
      <c r="E26" s="14">
        <f t="shared" si="10"/>
        <v>0.76133974697647278</v>
      </c>
      <c r="F26" s="14">
        <f t="shared" si="10"/>
        <v>0.71625010521045329</v>
      </c>
      <c r="G26" s="14">
        <f t="shared" si="10"/>
        <v>0.73499203760871379</v>
      </c>
      <c r="H26" s="14">
        <f t="shared" si="10"/>
        <v>0.7572226254040304</v>
      </c>
      <c r="I26" s="14">
        <f t="shared" si="10"/>
        <v>0.71253561235495866</v>
      </c>
      <c r="J26" s="14">
        <f t="shared" si="10"/>
        <v>0.69336009277130628</v>
      </c>
      <c r="K26" s="14">
        <f t="shared" si="10"/>
        <v>0.73548367787155344</v>
      </c>
      <c r="L26" s="14">
        <f t="shared" si="10"/>
        <v>0.7544047825014909</v>
      </c>
      <c r="M26" s="14">
        <f t="shared" si="10"/>
        <v>0.75406077684816852</v>
      </c>
    </row>
    <row r="28" spans="2:13">
      <c r="B28" t="s">
        <v>19</v>
      </c>
      <c r="C28" s="29">
        <f>IFERROR('Data Sheet'!B26,0)</f>
        <v>0.44</v>
      </c>
      <c r="D28" s="29">
        <f>IFERROR('Data Sheet'!C26,0)</f>
        <v>0.35</v>
      </c>
      <c r="E28" s="29">
        <f>IFERROR('Data Sheet'!D26,0)</f>
        <v>0.35</v>
      </c>
      <c r="F28" s="29">
        <f>IFERROR('Data Sheet'!E26,0)</f>
        <v>0.35</v>
      </c>
      <c r="G28" s="29">
        <f>IFERROR('Data Sheet'!F26,0)</f>
        <v>0.42</v>
      </c>
      <c r="H28" s="29">
        <f>IFERROR('Data Sheet'!G26,0)</f>
        <v>0.46</v>
      </c>
      <c r="I28" s="29">
        <f>IFERROR('Data Sheet'!H26,0)</f>
        <v>4.43</v>
      </c>
      <c r="J28" s="29">
        <f>IFERROR('Data Sheet'!I26,0)</f>
        <v>14.03</v>
      </c>
      <c r="K28" s="29">
        <f>IFERROR('Data Sheet'!J26,0)</f>
        <v>14.06</v>
      </c>
      <c r="L28" s="29">
        <f>IFERROR('Data Sheet'!K26,0)</f>
        <v>9.44</v>
      </c>
      <c r="M28" s="29">
        <f>IFERROR(SUM('Data Sheet'!H45:K45),0)</f>
        <v>6.8</v>
      </c>
    </row>
    <row r="29" spans="2:13">
      <c r="B29" s="13" t="s">
        <v>20</v>
      </c>
      <c r="C29" s="14">
        <f>C28/C7</f>
        <v>6.3407977011726159E-5</v>
      </c>
      <c r="D29" s="14">
        <f t="shared" ref="D29:M29" si="11">D28/D7</f>
        <v>4.6625077097895344E-5</v>
      </c>
      <c r="E29" s="14">
        <f t="shared" si="11"/>
        <v>3.8685232630883198E-5</v>
      </c>
      <c r="F29" s="14">
        <f t="shared" si="11"/>
        <v>3.7767855023232628E-5</v>
      </c>
      <c r="G29" s="14">
        <f t="shared" si="11"/>
        <v>3.7723681220522758E-5</v>
      </c>
      <c r="H29" s="14">
        <f t="shared" si="11"/>
        <v>3.4274593138226452E-5</v>
      </c>
      <c r="I29" s="14">
        <f t="shared" si="11"/>
        <v>2.8090404178431766E-4</v>
      </c>
      <c r="J29" s="14">
        <f t="shared" si="11"/>
        <v>6.9115411406653793E-4</v>
      </c>
      <c r="K29" s="14">
        <f t="shared" si="11"/>
        <v>5.9269651198524248E-4</v>
      </c>
      <c r="L29" s="14">
        <f t="shared" si="11"/>
        <v>3.5428160959442633E-4</v>
      </c>
      <c r="M29" s="14">
        <f t="shared" si="11"/>
        <v>2.5427766073526627E-4</v>
      </c>
    </row>
    <row r="30" spans="2:13">
      <c r="B30" t="s">
        <v>2</v>
      </c>
    </row>
    <row r="31" spans="2:13">
      <c r="B31" s="35" t="s">
        <v>21</v>
      </c>
      <c r="C31" s="36">
        <f>C22-SUM(C25,C28)</f>
        <v>1913.21</v>
      </c>
      <c r="D31" s="36">
        <f t="shared" ref="D31:L31" si="12">D22-SUM(D25,D28)</f>
        <v>1949.2999999999993</v>
      </c>
      <c r="E31" s="36">
        <f t="shared" si="12"/>
        <v>2133.0099999999993</v>
      </c>
      <c r="F31" s="36">
        <f t="shared" si="12"/>
        <v>2591.2599999999984</v>
      </c>
      <c r="G31" s="36">
        <f t="shared" si="12"/>
        <v>2901.5999999999985</v>
      </c>
      <c r="H31" s="36">
        <f t="shared" si="12"/>
        <v>3192.0300000000007</v>
      </c>
      <c r="I31" s="36">
        <f t="shared" si="12"/>
        <v>4415.7999999999993</v>
      </c>
      <c r="J31" s="36">
        <f t="shared" si="12"/>
        <v>6087.93</v>
      </c>
      <c r="K31" s="36">
        <f t="shared" si="12"/>
        <v>6126.5</v>
      </c>
      <c r="L31" s="36">
        <f t="shared" si="12"/>
        <v>6401.7000000000007</v>
      </c>
      <c r="M31" s="36">
        <f>IFERROR(SUM('Data Sheet'!H47:K47),0)</f>
        <v>6442.95</v>
      </c>
    </row>
    <row r="32" spans="2:13">
      <c r="B32" s="13" t="s">
        <v>22</v>
      </c>
      <c r="C32" s="14">
        <f>C31/C7</f>
        <v>0.27571085386046501</v>
      </c>
      <c r="D32" s="14">
        <f t="shared" ref="D32:M32" si="13">D31/D7</f>
        <v>0.2596750365340782</v>
      </c>
      <c r="E32" s="14">
        <f t="shared" si="13"/>
        <v>0.23575996586857184</v>
      </c>
      <c r="F32" s="14">
        <f t="shared" si="13"/>
        <v>0.27961809145000494</v>
      </c>
      <c r="G32" s="14">
        <f t="shared" si="13"/>
        <v>0.26061674626063996</v>
      </c>
      <c r="H32" s="14">
        <f t="shared" si="13"/>
        <v>0.2378381076848109</v>
      </c>
      <c r="I32" s="14">
        <f t="shared" si="13"/>
        <v>0.28000362702284193</v>
      </c>
      <c r="J32" s="14">
        <f t="shared" si="13"/>
        <v>0.2999071892836136</v>
      </c>
      <c r="K32" s="14">
        <f t="shared" si="13"/>
        <v>0.25826139265132203</v>
      </c>
      <c r="L32" s="14">
        <f t="shared" si="13"/>
        <v>0.24025472247252536</v>
      </c>
      <c r="M32" s="14">
        <f t="shared" si="13"/>
        <v>0.24092621385798291</v>
      </c>
    </row>
    <row r="33" spans="2:13">
      <c r="B33" t="s">
        <v>2</v>
      </c>
    </row>
    <row r="34" spans="2:13">
      <c r="B34" t="s">
        <v>23</v>
      </c>
      <c r="C34" s="29">
        <f>IFERROR('Data Sheet'!B29,0)</f>
        <v>1155.8800000000001</v>
      </c>
      <c r="D34" s="29">
        <f>IFERROR('Data Sheet'!C29,0)</f>
        <v>1101.22</v>
      </c>
      <c r="E34" s="29">
        <f>IFERROR('Data Sheet'!D29,0)</f>
        <v>1199.46</v>
      </c>
      <c r="F34" s="29">
        <f>IFERROR('Data Sheet'!E29,0)</f>
        <v>537.83000000000004</v>
      </c>
      <c r="G34" s="29">
        <f>IFERROR('Data Sheet'!F29,0)</f>
        <v>646.84</v>
      </c>
      <c r="H34" s="29">
        <f>IFERROR('Data Sheet'!G29,0)</f>
        <v>0</v>
      </c>
      <c r="I34" s="29">
        <f>IFERROR('Data Sheet'!H29,0)</f>
        <v>0</v>
      </c>
      <c r="J34" s="29">
        <f>IFERROR('Data Sheet'!I29,0)</f>
        <v>0.32</v>
      </c>
      <c r="K34" s="29">
        <f>IFERROR('Data Sheet'!J29,0)</f>
        <v>0</v>
      </c>
      <c r="L34" s="29">
        <f>IFERROR('Data Sheet'!K29,0)</f>
        <v>0</v>
      </c>
      <c r="M34" s="29">
        <f>IFERROR(SUM('Data Sheet'!H48:K48),0)</f>
        <v>0</v>
      </c>
    </row>
    <row r="35" spans="2:13">
      <c r="B35" s="13" t="s">
        <v>24</v>
      </c>
      <c r="C35" s="14">
        <f>C34/C22</f>
        <v>0.16738590221099767</v>
      </c>
      <c r="D35" s="14">
        <f t="shared" ref="D35:L35" si="14">D34/D22</f>
        <v>0.14744881495456244</v>
      </c>
      <c r="E35" s="14">
        <f t="shared" si="14"/>
        <v>0.13295586427519179</v>
      </c>
      <c r="F35" s="14">
        <f t="shared" si="14"/>
        <v>5.8274823386642409E-2</v>
      </c>
      <c r="G35" s="14">
        <f t="shared" si="14"/>
        <v>5.8352097225830672E-2</v>
      </c>
      <c r="H35" s="14">
        <f t="shared" si="14"/>
        <v>0</v>
      </c>
      <c r="I35" s="14">
        <f t="shared" si="14"/>
        <v>0</v>
      </c>
      <c r="J35" s="14">
        <f t="shared" si="14"/>
        <v>1.5859846536159952E-5</v>
      </c>
      <c r="K35" s="14">
        <f t="shared" si="14"/>
        <v>0</v>
      </c>
      <c r="L35" s="14">
        <f t="shared" si="14"/>
        <v>0</v>
      </c>
      <c r="M35" s="14"/>
    </row>
    <row r="36" spans="2:13">
      <c r="B36" t="s">
        <v>2</v>
      </c>
      <c r="C36" t="s">
        <v>2</v>
      </c>
    </row>
    <row r="37" spans="2:13">
      <c r="B37" s="35" t="s">
        <v>25</v>
      </c>
      <c r="C37" s="36">
        <f>IFERROR(C19+C31-C34,0)</f>
        <v>758.3</v>
      </c>
      <c r="D37" s="36">
        <f t="shared" ref="D37:M37" si="15">IFERROR(D19+D31-D34,0)</f>
        <v>848.68999999999915</v>
      </c>
      <c r="E37" s="36">
        <f t="shared" si="15"/>
        <v>933.80999999999949</v>
      </c>
      <c r="F37" s="36">
        <f t="shared" si="15"/>
        <v>2054.6599999999985</v>
      </c>
      <c r="G37" s="36">
        <f t="shared" si="15"/>
        <v>2254.7399999999984</v>
      </c>
      <c r="H37" s="36">
        <f t="shared" si="15"/>
        <v>3192.0900000000006</v>
      </c>
      <c r="I37" s="36">
        <f t="shared" si="15"/>
        <v>4416.1299999999992</v>
      </c>
      <c r="J37" s="36">
        <f t="shared" si="15"/>
        <v>6089.8300000000008</v>
      </c>
      <c r="K37" s="36">
        <f t="shared" si="15"/>
        <v>6167.16</v>
      </c>
      <c r="L37" s="36">
        <f t="shared" si="15"/>
        <v>6412.1100000000006</v>
      </c>
      <c r="M37" s="36">
        <f t="shared" si="15"/>
        <v>6452.04</v>
      </c>
    </row>
    <row r="38" spans="2:13">
      <c r="B38" s="13" t="s">
        <v>26</v>
      </c>
      <c r="C38" s="14">
        <f>C37/C7</f>
        <v>0.1092778840181635</v>
      </c>
      <c r="D38" s="14">
        <f t="shared" ref="D38:M38" si="16">D37/D7</f>
        <v>0.11305781909203647</v>
      </c>
      <c r="E38" s="14">
        <f t="shared" si="16"/>
        <v>0.1032133059515572</v>
      </c>
      <c r="F38" s="14">
        <f t="shared" si="16"/>
        <v>0.22171457429152885</v>
      </c>
      <c r="G38" s="14">
        <f t="shared" si="16"/>
        <v>0.20251688808371768</v>
      </c>
      <c r="H38" s="14">
        <f t="shared" si="16"/>
        <v>0.23784257828391586</v>
      </c>
      <c r="I38" s="14">
        <f t="shared" si="16"/>
        <v>0.28002455215462274</v>
      </c>
      <c r="J38" s="14">
        <f t="shared" si="16"/>
        <v>0.30000078820141307</v>
      </c>
      <c r="K38" s="14">
        <f t="shared" si="16"/>
        <v>0.25997540688868476</v>
      </c>
      <c r="L38" s="14">
        <f t="shared" si="16"/>
        <v>0.24064540801869888</v>
      </c>
      <c r="M38" s="14">
        <f t="shared" si="16"/>
        <v>0.24126612326034816</v>
      </c>
    </row>
    <row r="39" spans="2:13">
      <c r="B39" t="s">
        <v>2</v>
      </c>
    </row>
    <row r="40" spans="2:13">
      <c r="B40" t="s">
        <v>27</v>
      </c>
      <c r="C40">
        <f>IFERROR('Data Sheet'!B93,0)</f>
        <v>3.58</v>
      </c>
      <c r="D40">
        <f>IFERROR('Data Sheet'!C93,0)</f>
        <v>4.53</v>
      </c>
      <c r="E40">
        <f>IFERROR('Data Sheet'!D93,0)</f>
        <v>6.53</v>
      </c>
      <c r="F40">
        <f>IFERROR('Data Sheet'!E93,0)</f>
        <v>652.65</v>
      </c>
      <c r="G40">
        <f>IFERROR('Data Sheet'!F93,0)</f>
        <v>938.05</v>
      </c>
      <c r="H40">
        <f>IFERROR('Data Sheet'!G93,0)</f>
        <v>1188.05</v>
      </c>
      <c r="I40">
        <f>IFERROR('Data Sheet'!H93,0)</f>
        <v>1306.8499999999999</v>
      </c>
      <c r="J40">
        <f>IFERROR('Data Sheet'!I93,0)</f>
        <v>1306.8499999999999</v>
      </c>
      <c r="K40">
        <f>IFERROR('Data Sheet'!J93,0)</f>
        <v>1306.8499999999999</v>
      </c>
      <c r="L40">
        <f>IFERROR('Data Sheet'!K93,0)</f>
        <v>1306.8499999999999</v>
      </c>
    </row>
    <row r="42" spans="2:13">
      <c r="B42" t="s">
        <v>28</v>
      </c>
      <c r="C42" s="30">
        <f>C37/C40</f>
        <v>211.81564245810054</v>
      </c>
      <c r="D42" s="30">
        <f t="shared" ref="D42:L42" si="17">D37/D40</f>
        <v>187.34878587196448</v>
      </c>
      <c r="E42" s="30">
        <f t="shared" si="17"/>
        <v>143.0030627871362</v>
      </c>
      <c r="F42" s="30">
        <f t="shared" si="17"/>
        <v>3.1481804949053833</v>
      </c>
      <c r="G42" s="30">
        <f t="shared" si="17"/>
        <v>2.4036458610948226</v>
      </c>
      <c r="H42" s="30">
        <f t="shared" si="17"/>
        <v>2.6868313623164015</v>
      </c>
      <c r="I42" s="30">
        <f t="shared" si="17"/>
        <v>3.379217201668133</v>
      </c>
      <c r="J42" s="30">
        <f t="shared" si="17"/>
        <v>4.6599303669128069</v>
      </c>
      <c r="K42" s="30">
        <f t="shared" si="17"/>
        <v>4.7191031870528368</v>
      </c>
      <c r="L42" s="30">
        <f t="shared" si="17"/>
        <v>4.9065386234074309</v>
      </c>
    </row>
    <row r="43" spans="2:13">
      <c r="B43" s="13" t="s">
        <v>29</v>
      </c>
      <c r="C43" s="14"/>
      <c r="D43" s="14">
        <f>D42/C42-1</f>
        <v>-0.11551014978025465</v>
      </c>
      <c r="E43" s="14">
        <f t="shared" ref="E43:L43" si="18">E42/D42-1</f>
        <v>-0.23670141697707325</v>
      </c>
      <c r="F43" s="14">
        <f t="shared" si="18"/>
        <v>-0.97798522329838811</v>
      </c>
      <c r="G43" s="14">
        <f t="shared" si="18"/>
        <v>-0.23649680665242079</v>
      </c>
      <c r="H43" s="14">
        <f t="shared" si="18"/>
        <v>0.11781498506297949</v>
      </c>
      <c r="I43" s="14">
        <f t="shared" si="18"/>
        <v>0.25769605382110927</v>
      </c>
      <c r="J43" s="14">
        <f t="shared" si="18"/>
        <v>0.3789969951065757</v>
      </c>
      <c r="K43" s="14">
        <f t="shared" si="18"/>
        <v>1.2698219818943812E-2</v>
      </c>
      <c r="L43" s="14">
        <f t="shared" si="18"/>
        <v>3.9718444146090048E-2</v>
      </c>
      <c r="M43" s="14"/>
    </row>
    <row r="44" spans="2:13">
      <c r="B44" t="s">
        <v>2</v>
      </c>
    </row>
    <row r="45" spans="2:13">
      <c r="B45" t="s">
        <v>30</v>
      </c>
      <c r="C45" s="30">
        <f>IFERROR('Data Sheet'!B31/'Historical FS'!C40,0)</f>
        <v>42.44692737430168</v>
      </c>
      <c r="D45" s="30">
        <f>IFERROR('Data Sheet'!C31/'Historical FS'!D40,0)</f>
        <v>74.940397350993379</v>
      </c>
      <c r="E45" s="30">
        <f>IFERROR('Data Sheet'!D31/'Historical FS'!E40,0)</f>
        <v>57.168453292496167</v>
      </c>
      <c r="F45" s="30">
        <f>IFERROR('Data Sheet'!E31/'Historical FS'!F40,0)</f>
        <v>0.57499425419443806</v>
      </c>
      <c r="G45" s="30">
        <f>IFERROR('Data Sheet'!F31/'Historical FS'!G40,0)</f>
        <v>0.42600074622887907</v>
      </c>
      <c r="H45" s="30">
        <f>IFERROR('Data Sheet'!G31/'Historical FS'!H40,0)</f>
        <v>0</v>
      </c>
      <c r="I45" s="30">
        <f>IFERROR('Data Sheet'!H31/'Historical FS'!I40,0)</f>
        <v>1.0499980870030992</v>
      </c>
      <c r="J45" s="30">
        <f>IFERROR('Data Sheet'!I31/'Historical FS'!J40,0)</f>
        <v>1.4000000000000001</v>
      </c>
      <c r="K45" s="30">
        <f>IFERROR('Data Sheet'!J31/'Historical FS'!K40,0)</f>
        <v>1.500003825993802</v>
      </c>
      <c r="L45" s="30">
        <f>IFERROR('Data Sheet'!K31/'Historical FS'!L40,0)</f>
        <v>1.500003825993802</v>
      </c>
    </row>
    <row r="46" spans="2:13">
      <c r="B46" s="13" t="s">
        <v>31</v>
      </c>
      <c r="C46" s="14">
        <f>C45/C42</f>
        <v>0.20039562178557302</v>
      </c>
      <c r="D46" s="14">
        <f t="shared" ref="D46:L46" si="19">D45/D42</f>
        <v>0.40000471314614333</v>
      </c>
      <c r="E46" s="14">
        <f t="shared" si="19"/>
        <v>0.39977083132543045</v>
      </c>
      <c r="F46" s="14">
        <f t="shared" si="19"/>
        <v>0.18264335705177512</v>
      </c>
      <c r="G46" s="14">
        <f t="shared" si="19"/>
        <v>0.17723107764088111</v>
      </c>
      <c r="H46" s="14">
        <f t="shared" si="19"/>
        <v>0</v>
      </c>
      <c r="I46" s="14">
        <f t="shared" si="19"/>
        <v>0.31072228399073404</v>
      </c>
      <c r="J46" s="14">
        <f t="shared" si="19"/>
        <v>0.3004336738463963</v>
      </c>
      <c r="K46" s="14">
        <f t="shared" si="19"/>
        <v>0.31785781461807383</v>
      </c>
      <c r="L46" s="14">
        <f t="shared" si="19"/>
        <v>0.30571527936981741</v>
      </c>
      <c r="M46" s="14"/>
    </row>
    <row r="47" spans="2:13">
      <c r="C47" t="s">
        <v>2</v>
      </c>
    </row>
    <row r="48" spans="2:13">
      <c r="B48" t="s">
        <v>32</v>
      </c>
      <c r="C48" s="14">
        <f>IFERROR(IF(C42&gt;C45,1-C46,0),0)</f>
        <v>0.79960437821442698</v>
      </c>
      <c r="D48" s="14">
        <f t="shared" ref="D48:L48" si="20">IFERROR(IF(D42&gt;D45,1-D46,0),0)</f>
        <v>0.59999528685385672</v>
      </c>
      <c r="E48" s="14">
        <f t="shared" si="20"/>
        <v>0.60022916867456955</v>
      </c>
      <c r="F48" s="14">
        <f t="shared" si="20"/>
        <v>0.81735664294822485</v>
      </c>
      <c r="G48" s="14">
        <f t="shared" si="20"/>
        <v>0.82276892235911891</v>
      </c>
      <c r="H48" s="14">
        <f t="shared" si="20"/>
        <v>1</v>
      </c>
      <c r="I48" s="14">
        <f t="shared" si="20"/>
        <v>0.68927771600926602</v>
      </c>
      <c r="J48" s="14">
        <f t="shared" si="20"/>
        <v>0.6995663261536037</v>
      </c>
      <c r="K48" s="14">
        <f t="shared" si="20"/>
        <v>0.68214218538192617</v>
      </c>
      <c r="L48" s="14">
        <f t="shared" si="20"/>
        <v>0.69428472063018254</v>
      </c>
    </row>
    <row r="49" spans="1:13">
      <c r="C49" t="s">
        <v>2</v>
      </c>
    </row>
    <row r="50" spans="1:13">
      <c r="A50" t="s">
        <v>3</v>
      </c>
      <c r="B50" s="12" t="s">
        <v>33</v>
      </c>
      <c r="C50" s="12"/>
      <c r="D50" s="12"/>
      <c r="E50" s="12"/>
      <c r="F50" s="12"/>
      <c r="G50" s="12"/>
      <c r="H50" s="12"/>
      <c r="I50" s="12"/>
      <c r="J50" s="12"/>
      <c r="K50" s="12"/>
      <c r="L50" s="12"/>
      <c r="M50" s="12"/>
    </row>
    <row r="52" spans="1:13">
      <c r="B52" t="s">
        <v>34</v>
      </c>
      <c r="C52" s="29">
        <f>IFERROR('Data Sheet'!B57,0)</f>
        <v>3583.96</v>
      </c>
      <c r="D52" s="29">
        <f>IFERROR('Data Sheet'!C57,0)</f>
        <v>4526.46</v>
      </c>
      <c r="E52" s="29">
        <f>IFERROR('Data Sheet'!D57,0)</f>
        <v>6526.46</v>
      </c>
      <c r="F52" s="29">
        <f>IFERROR('Data Sheet'!E57,0)</f>
        <v>6526.46</v>
      </c>
      <c r="G52" s="29">
        <f>IFERROR('Data Sheet'!F57,0)</f>
        <v>9380.4599999999991</v>
      </c>
      <c r="H52" s="29">
        <f>IFERROR('Data Sheet'!G57,0)</f>
        <v>11880.46</v>
      </c>
      <c r="I52" s="29">
        <f>IFERROR('Data Sheet'!H57,0)</f>
        <v>13068.51</v>
      </c>
      <c r="J52" s="29">
        <f>IFERROR('Data Sheet'!I57,0)</f>
        <v>13068.51</v>
      </c>
      <c r="K52" s="29">
        <f>IFERROR('Data Sheet'!J57,0)</f>
        <v>13068.51</v>
      </c>
      <c r="L52" s="29">
        <f>IFERROR('Data Sheet'!K57,0)</f>
        <v>13068.51</v>
      </c>
    </row>
    <row r="53" spans="1:13">
      <c r="B53" t="s">
        <v>35</v>
      </c>
      <c r="C53" s="29">
        <f>IFERROR('Data Sheet'!B58,0)</f>
        <v>5097.6499999999996</v>
      </c>
      <c r="D53" s="29">
        <f>IFERROR('Data Sheet'!C58,0)</f>
        <v>6998.89</v>
      </c>
      <c r="E53" s="29">
        <f>IFERROR('Data Sheet'!D58,0)</f>
        <v>5483.14</v>
      </c>
      <c r="F53" s="29">
        <f>IFERROR('Data Sheet'!E58,0)</f>
        <v>7402.23</v>
      </c>
      <c r="G53" s="29">
        <f>IFERROR('Data Sheet'!F58,0)</f>
        <v>15648.19</v>
      </c>
      <c r="H53" s="29">
        <f>IFERROR('Data Sheet'!G58,0)</f>
        <v>18419.29</v>
      </c>
      <c r="I53" s="29">
        <f>IFERROR('Data Sheet'!H58,0)</f>
        <v>22844.880000000001</v>
      </c>
      <c r="J53" s="29">
        <f>IFERROR('Data Sheet'!I58,0)</f>
        <v>27927.83</v>
      </c>
      <c r="K53" s="29">
        <f>IFERROR('Data Sheet'!J58,0)</f>
        <v>31611.68</v>
      </c>
      <c r="L53" s="29">
        <f>IFERROR('Data Sheet'!K58,0)</f>
        <v>36110.06</v>
      </c>
    </row>
    <row r="54" spans="1:13">
      <c r="B54" t="s">
        <v>36</v>
      </c>
      <c r="C54" s="29">
        <f>IFERROR('Data Sheet'!B59,0)</f>
        <v>71269.63</v>
      </c>
      <c r="D54" s="29">
        <f>IFERROR('Data Sheet'!C59,0)</f>
        <v>87503.18</v>
      </c>
      <c r="E54" s="29">
        <f>IFERROR('Data Sheet'!D59,0)</f>
        <v>106394.86</v>
      </c>
      <c r="F54" s="29">
        <f>IFERROR('Data Sheet'!E59,0)</f>
        <v>134005.53</v>
      </c>
      <c r="G54" s="29">
        <f>IFERROR('Data Sheet'!F59,0)</f>
        <v>173932.67</v>
      </c>
      <c r="H54" s="29">
        <f>IFERROR('Data Sheet'!G59,0)</f>
        <v>234376.72</v>
      </c>
      <c r="I54" s="29">
        <f>IFERROR('Data Sheet'!H59,0)</f>
        <v>323145.26</v>
      </c>
      <c r="J54" s="29">
        <f>IFERROR('Data Sheet'!I59,0)</f>
        <v>388439.97</v>
      </c>
      <c r="K54" s="29">
        <f>IFERROR('Data Sheet'!J59,0)</f>
        <v>418934.9</v>
      </c>
      <c r="L54" s="29">
        <f>IFERROR('Data Sheet'!K59,0)</f>
        <v>412038.52</v>
      </c>
    </row>
    <row r="55" spans="1:13">
      <c r="B55" t="s">
        <v>37</v>
      </c>
      <c r="C55" s="29">
        <f>IFERROR('Data Sheet'!B60,0)</f>
        <v>7695.75</v>
      </c>
      <c r="D55" s="29">
        <f>IFERROR('Data Sheet'!C60,0)</f>
        <v>9371.86</v>
      </c>
      <c r="E55" s="29">
        <f>IFERROR('Data Sheet'!D60,0)</f>
        <v>11245.17</v>
      </c>
      <c r="F55" s="29">
        <f>IFERROR('Data Sheet'!E60,0)</f>
        <v>13534.1</v>
      </c>
      <c r="G55" s="29">
        <f>IFERROR('Data Sheet'!F60,0)</f>
        <v>7642.29</v>
      </c>
      <c r="H55" s="29">
        <f>IFERROR('Data Sheet'!G60,0)</f>
        <v>10827.66</v>
      </c>
      <c r="I55" s="29">
        <f>IFERROR('Data Sheet'!H60,0)</f>
        <v>21422.87</v>
      </c>
      <c r="J55" s="29">
        <f>IFERROR('Data Sheet'!I60,0)</f>
        <v>20543.91</v>
      </c>
      <c r="K55" s="29">
        <f>IFERROR('Data Sheet'!J60,0)</f>
        <v>26743.66</v>
      </c>
      <c r="L55" s="29">
        <f>IFERROR('Data Sheet'!K60,0)</f>
        <v>23865.34</v>
      </c>
    </row>
    <row r="56" spans="1:13">
      <c r="B56" s="35" t="s">
        <v>38</v>
      </c>
      <c r="C56" s="36">
        <f>SUM(C52:C55)</f>
        <v>87646.99</v>
      </c>
      <c r="D56" s="36">
        <f t="shared" ref="D56:L56" si="21">SUM(D52:D55)</f>
        <v>108400.39</v>
      </c>
      <c r="E56" s="36">
        <f t="shared" si="21"/>
        <v>129649.63</v>
      </c>
      <c r="F56" s="36">
        <f t="shared" si="21"/>
        <v>161468.32</v>
      </c>
      <c r="G56" s="36">
        <f t="shared" si="21"/>
        <v>206603.61000000002</v>
      </c>
      <c r="H56" s="36">
        <f t="shared" si="21"/>
        <v>275504.12999999995</v>
      </c>
      <c r="I56" s="36">
        <f t="shared" si="21"/>
        <v>380481.52</v>
      </c>
      <c r="J56" s="36">
        <f t="shared" si="21"/>
        <v>449980.22</v>
      </c>
      <c r="K56" s="36">
        <f t="shared" si="21"/>
        <v>490358.75</v>
      </c>
      <c r="L56" s="36">
        <f t="shared" si="21"/>
        <v>485082.43000000005</v>
      </c>
    </row>
    <row r="58" spans="1:13">
      <c r="B58" t="s">
        <v>39</v>
      </c>
      <c r="C58" s="29">
        <f>IFERROR('Data Sheet'!B62,0)</f>
        <v>12.01</v>
      </c>
      <c r="D58" s="29">
        <f>IFERROR('Data Sheet'!C62,0)</f>
        <v>11.76</v>
      </c>
      <c r="E58" s="29">
        <f>IFERROR('Data Sheet'!D62,0)</f>
        <v>11.52</v>
      </c>
      <c r="F58" s="29">
        <f>IFERROR('Data Sheet'!E62,0)</f>
        <v>11.29</v>
      </c>
      <c r="G58" s="29">
        <f>IFERROR('Data Sheet'!F62,0)</f>
        <v>11.28</v>
      </c>
      <c r="H58" s="29">
        <f>IFERROR('Data Sheet'!G62,0)</f>
        <v>11.05</v>
      </c>
      <c r="I58" s="29">
        <f>IFERROR('Data Sheet'!H62,0)</f>
        <v>45.36</v>
      </c>
      <c r="J58" s="29">
        <f>IFERROR('Data Sheet'!I62,0)</f>
        <v>37.96</v>
      </c>
      <c r="K58" s="29">
        <f>IFERROR('Data Sheet'!J62,0)</f>
        <v>19.190000000000001</v>
      </c>
      <c r="L58" s="29">
        <f>IFERROR('Data Sheet'!K62,0)</f>
        <v>22.05</v>
      </c>
    </row>
    <row r="59" spans="1:13">
      <c r="B59" t="s">
        <v>40</v>
      </c>
      <c r="C59" s="29">
        <f>IFERROR('Data Sheet'!B63,0)</f>
        <v>0</v>
      </c>
      <c r="D59" s="29">
        <f>IFERROR('Data Sheet'!C63,0)</f>
        <v>0</v>
      </c>
      <c r="E59" s="29">
        <f>IFERROR('Data Sheet'!D63,0)</f>
        <v>0</v>
      </c>
      <c r="F59" s="29">
        <f>IFERROR('Data Sheet'!E63,0)</f>
        <v>0</v>
      </c>
      <c r="G59" s="29">
        <f>IFERROR('Data Sheet'!F63,0)</f>
        <v>0</v>
      </c>
      <c r="H59" s="29">
        <f>IFERROR('Data Sheet'!G63,0)</f>
        <v>0</v>
      </c>
      <c r="I59" s="29">
        <f>IFERROR('Data Sheet'!H63,0)</f>
        <v>0</v>
      </c>
      <c r="J59" s="29">
        <f>IFERROR('Data Sheet'!I63,0)</f>
        <v>0</v>
      </c>
      <c r="K59" s="29">
        <f>IFERROR('Data Sheet'!J63,0)</f>
        <v>0</v>
      </c>
      <c r="L59" s="29">
        <f>IFERROR('Data Sheet'!K63,0)</f>
        <v>3.78</v>
      </c>
    </row>
    <row r="60" spans="1:13">
      <c r="B60" t="s">
        <v>41</v>
      </c>
      <c r="C60" s="29">
        <f>IFERROR('Data Sheet'!B64,0)</f>
        <v>9.32</v>
      </c>
      <c r="D60" s="29">
        <f>IFERROR('Data Sheet'!C64,0)</f>
        <v>7.87</v>
      </c>
      <c r="E60" s="29">
        <f>IFERROR('Data Sheet'!D64,0)</f>
        <v>7.87</v>
      </c>
      <c r="F60" s="29">
        <f>IFERROR('Data Sheet'!E64,0)</f>
        <v>13.98</v>
      </c>
      <c r="G60" s="29">
        <f>IFERROR('Data Sheet'!F64,0)</f>
        <v>13.15</v>
      </c>
      <c r="H60" s="29">
        <f>IFERROR('Data Sheet'!G64,0)</f>
        <v>11.51</v>
      </c>
      <c r="I60" s="29">
        <f>IFERROR('Data Sheet'!H64,0)</f>
        <v>11.98</v>
      </c>
      <c r="J60" s="29">
        <f>IFERROR('Data Sheet'!I64,0)</f>
        <v>10</v>
      </c>
      <c r="K60" s="29">
        <f>IFERROR('Data Sheet'!J64,0)</f>
        <v>13.66</v>
      </c>
      <c r="L60" s="29">
        <f>IFERROR('Data Sheet'!K64,0)</f>
        <v>53.6</v>
      </c>
    </row>
    <row r="61" spans="1:13">
      <c r="B61" t="s">
        <v>42</v>
      </c>
      <c r="C61" s="29">
        <f>IFERROR('Data Sheet'!B65,0)</f>
        <v>87625.66</v>
      </c>
      <c r="D61" s="29">
        <f>IFERROR('Data Sheet'!C65,0)</f>
        <v>108380.76</v>
      </c>
      <c r="E61" s="29">
        <f>IFERROR('Data Sheet'!D65,0)</f>
        <v>129630.24</v>
      </c>
      <c r="F61" s="29">
        <f>IFERROR('Data Sheet'!E65,0)</f>
        <v>161443.04999999999</v>
      </c>
      <c r="G61" s="29">
        <f>IFERROR('Data Sheet'!F65,0)</f>
        <v>206579.18</v>
      </c>
      <c r="H61" s="29">
        <f>IFERROR('Data Sheet'!G65,0)</f>
        <v>275481.57</v>
      </c>
      <c r="I61" s="29">
        <f>IFERROR('Data Sheet'!H65,0)</f>
        <v>380424.18</v>
      </c>
      <c r="J61" s="29">
        <f>IFERROR('Data Sheet'!I65,0)</f>
        <v>449932.26</v>
      </c>
      <c r="K61" s="29">
        <f>IFERROR('Data Sheet'!J65,0)</f>
        <v>490325.9</v>
      </c>
      <c r="L61" s="29">
        <f>IFERROR('Data Sheet'!K65,0)</f>
        <v>485003</v>
      </c>
    </row>
    <row r="62" spans="1:13">
      <c r="B62" s="35" t="s">
        <v>43</v>
      </c>
      <c r="C62" s="36">
        <f>IFERROR('Data Sheet'!B66-SUM('Data Sheet'!B67:B69),0)</f>
        <v>87641.919999999998</v>
      </c>
      <c r="D62" s="36">
        <f>IFERROR('Data Sheet'!C66-SUM('Data Sheet'!C67:C69),0)</f>
        <v>107189.18</v>
      </c>
      <c r="E62" s="36">
        <f>IFERROR('Data Sheet'!D66-SUM('Data Sheet'!D67:D69),0)</f>
        <v>129642.11</v>
      </c>
      <c r="F62" s="36">
        <f>IFERROR('Data Sheet'!E66-SUM('Data Sheet'!E67:E69),0)</f>
        <v>161368.5</v>
      </c>
      <c r="G62" s="36">
        <f>IFERROR('Data Sheet'!F66-SUM('Data Sheet'!F67:F69),0)</f>
        <v>206522.53999999998</v>
      </c>
      <c r="H62" s="36">
        <f>IFERROR('Data Sheet'!G66-SUM('Data Sheet'!G67:G69),0)</f>
        <v>275403.37</v>
      </c>
      <c r="I62" s="36">
        <f>IFERROR('Data Sheet'!H66-SUM('Data Sheet'!H67:H69),0)</f>
        <v>380022.60000000003</v>
      </c>
      <c r="J62" s="36">
        <f>IFERROR('Data Sheet'!I66-SUM('Data Sheet'!I67:I69),0)</f>
        <v>248984.33999999997</v>
      </c>
      <c r="K62" s="36">
        <f>IFERROR('Data Sheet'!J66-SUM('Data Sheet'!J67:J69),0)</f>
        <v>246460.22</v>
      </c>
      <c r="L62" s="36">
        <f>IFERROR('Data Sheet'!K66-SUM('Data Sheet'!K67:K69),0)</f>
        <v>224924.46</v>
      </c>
    </row>
    <row r="63" spans="1:13">
      <c r="B63" s="31"/>
    </row>
    <row r="64" spans="1:13">
      <c r="B64" t="s">
        <v>44</v>
      </c>
      <c r="C64" s="29">
        <f>IFERROR('Data Sheet'!B67,0)</f>
        <v>0</v>
      </c>
      <c r="D64" s="29">
        <f>IFERROR('Data Sheet'!C67,0)</f>
        <v>0</v>
      </c>
      <c r="E64" s="29">
        <f>IFERROR('Data Sheet'!D67,0)</f>
        <v>0</v>
      </c>
      <c r="F64" s="29">
        <f>IFERROR('Data Sheet'!E67,0)</f>
        <v>0</v>
      </c>
      <c r="G64" s="29">
        <f>IFERROR('Data Sheet'!F67,0)</f>
        <v>0</v>
      </c>
      <c r="H64" s="29">
        <f>IFERROR('Data Sheet'!G67,0)</f>
        <v>0</v>
      </c>
      <c r="I64" s="29">
        <f>IFERROR('Data Sheet'!H67,0)</f>
        <v>0</v>
      </c>
      <c r="J64" s="29">
        <f>IFERROR('Data Sheet'!I67,0)</f>
        <v>200692.5</v>
      </c>
      <c r="K64" s="29">
        <f>IFERROR('Data Sheet'!J67,0)</f>
        <v>243356.87</v>
      </c>
      <c r="L64" s="29">
        <f>IFERROR('Data Sheet'!K67,0)</f>
        <v>259690.6</v>
      </c>
    </row>
    <row r="65" spans="1:13">
      <c r="B65" t="s">
        <v>45</v>
      </c>
      <c r="C65" s="29">
        <f>IFERROR('Data Sheet'!B68,0)</f>
        <v>0</v>
      </c>
      <c r="D65" s="29">
        <f>IFERROR('Data Sheet'!C68,0)</f>
        <v>0</v>
      </c>
      <c r="E65" s="29">
        <f>IFERROR('Data Sheet'!D68,0)</f>
        <v>0</v>
      </c>
      <c r="F65" s="29">
        <f>IFERROR('Data Sheet'!E68,0)</f>
        <v>0</v>
      </c>
      <c r="G65" s="29">
        <f>IFERROR('Data Sheet'!F68,0)</f>
        <v>0</v>
      </c>
      <c r="H65" s="29">
        <f>IFERROR('Data Sheet'!G68,0)</f>
        <v>0</v>
      </c>
      <c r="I65" s="29">
        <f>IFERROR('Data Sheet'!H68,0)</f>
        <v>0</v>
      </c>
      <c r="J65" s="29">
        <f>IFERROR('Data Sheet'!I68,0)</f>
        <v>0</v>
      </c>
      <c r="K65" s="29">
        <f>IFERROR('Data Sheet'!J68,0)</f>
        <v>0</v>
      </c>
      <c r="L65" s="29">
        <f>IFERROR('Data Sheet'!K68,0)</f>
        <v>0</v>
      </c>
    </row>
    <row r="66" spans="1:13">
      <c r="B66" t="s">
        <v>46</v>
      </c>
      <c r="C66" s="29">
        <f>IFERROR('Data Sheet'!B69,0)</f>
        <v>5.07</v>
      </c>
      <c r="D66" s="29">
        <f>IFERROR('Data Sheet'!C69,0)</f>
        <v>1211.21</v>
      </c>
      <c r="E66" s="29">
        <f>IFERROR('Data Sheet'!D69,0)</f>
        <v>7.52</v>
      </c>
      <c r="F66" s="29">
        <f>IFERROR('Data Sheet'!E69,0)</f>
        <v>99.82</v>
      </c>
      <c r="G66" s="29">
        <f>IFERROR('Data Sheet'!F69,0)</f>
        <v>81.069999999999993</v>
      </c>
      <c r="H66" s="29">
        <f>IFERROR('Data Sheet'!G69,0)</f>
        <v>100.76</v>
      </c>
      <c r="I66" s="29">
        <f>IFERROR('Data Sheet'!H69,0)</f>
        <v>458.92</v>
      </c>
      <c r="J66" s="29">
        <f>IFERROR('Data Sheet'!I69,0)</f>
        <v>303.38</v>
      </c>
      <c r="K66" s="29">
        <f>IFERROR('Data Sheet'!J69,0)</f>
        <v>541.66</v>
      </c>
      <c r="L66" s="29">
        <f>IFERROR('Data Sheet'!K69,0)</f>
        <v>467.37</v>
      </c>
    </row>
    <row r="67" spans="1:13">
      <c r="B67" s="35" t="s">
        <v>47</v>
      </c>
      <c r="C67" s="36">
        <f>SUM(C64:C66)</f>
        <v>5.07</v>
      </c>
      <c r="D67" s="36">
        <f t="shared" ref="D67:L67" si="22">SUM(D64:D66)</f>
        <v>1211.21</v>
      </c>
      <c r="E67" s="36">
        <f t="shared" si="22"/>
        <v>7.52</v>
      </c>
      <c r="F67" s="36">
        <f t="shared" si="22"/>
        <v>99.82</v>
      </c>
      <c r="G67" s="36">
        <f t="shared" si="22"/>
        <v>81.069999999999993</v>
      </c>
      <c r="H67" s="36">
        <f t="shared" si="22"/>
        <v>100.76</v>
      </c>
      <c r="I67" s="36">
        <f t="shared" si="22"/>
        <v>458.92</v>
      </c>
      <c r="J67" s="36">
        <f t="shared" si="22"/>
        <v>200995.88</v>
      </c>
      <c r="K67" s="36">
        <f t="shared" si="22"/>
        <v>243898.53</v>
      </c>
      <c r="L67" s="36">
        <f t="shared" si="22"/>
        <v>260157.97</v>
      </c>
    </row>
    <row r="69" spans="1:13">
      <c r="B69" s="35" t="s">
        <v>48</v>
      </c>
      <c r="C69" s="36">
        <f>C62+C67</f>
        <v>87646.99</v>
      </c>
      <c r="D69" s="36">
        <f t="shared" ref="D69:L69" si="23">D62+D67</f>
        <v>108400.39</v>
      </c>
      <c r="E69" s="36">
        <f t="shared" si="23"/>
        <v>129649.63</v>
      </c>
      <c r="F69" s="36">
        <f t="shared" si="23"/>
        <v>161468.32</v>
      </c>
      <c r="G69" s="36">
        <f t="shared" si="23"/>
        <v>206603.61</v>
      </c>
      <c r="H69" s="36">
        <f t="shared" si="23"/>
        <v>275504.13</v>
      </c>
      <c r="I69" s="36">
        <f t="shared" si="23"/>
        <v>380481.52</v>
      </c>
      <c r="J69" s="36">
        <f t="shared" si="23"/>
        <v>449980.22</v>
      </c>
      <c r="K69" s="36">
        <f t="shared" si="23"/>
        <v>490358.75</v>
      </c>
      <c r="L69" s="36">
        <f t="shared" si="23"/>
        <v>485082.43</v>
      </c>
    </row>
    <row r="71" spans="1:13">
      <c r="B71" s="33" t="s">
        <v>49</v>
      </c>
      <c r="C71" s="34" t="b">
        <f>C56=C69</f>
        <v>1</v>
      </c>
      <c r="D71" s="34" t="b">
        <f t="shared" ref="D71:L71" si="24">D56=D69</f>
        <v>1</v>
      </c>
      <c r="E71" s="34" t="b">
        <f t="shared" si="24"/>
        <v>1</v>
      </c>
      <c r="F71" s="34" t="b">
        <f t="shared" si="24"/>
        <v>1</v>
      </c>
      <c r="G71" s="34" t="b">
        <f t="shared" si="24"/>
        <v>1</v>
      </c>
      <c r="H71" s="34" t="b">
        <f t="shared" si="24"/>
        <v>1</v>
      </c>
      <c r="I71" s="34" t="b">
        <f t="shared" si="24"/>
        <v>1</v>
      </c>
      <c r="J71" s="34" t="b">
        <f t="shared" si="24"/>
        <v>1</v>
      </c>
      <c r="K71" s="34" t="b">
        <f t="shared" si="24"/>
        <v>1</v>
      </c>
      <c r="L71" s="34" t="b">
        <f t="shared" si="24"/>
        <v>1</v>
      </c>
    </row>
    <row r="73" spans="1:13">
      <c r="A73" t="s">
        <v>3</v>
      </c>
      <c r="B73" s="12" t="s">
        <v>50</v>
      </c>
      <c r="C73" s="12"/>
      <c r="D73" s="12"/>
      <c r="E73" s="12"/>
      <c r="F73" s="12"/>
      <c r="G73" s="12"/>
      <c r="H73" s="12"/>
      <c r="I73" s="12"/>
      <c r="J73" s="12"/>
      <c r="K73" s="12"/>
      <c r="L73" s="12"/>
      <c r="M73" s="12"/>
    </row>
    <row r="75" spans="1:13">
      <c r="B75" s="4" t="s">
        <v>51</v>
      </c>
      <c r="C75" s="37">
        <f>IFERROR('Data Sheet'!B82,0)</f>
        <v>0</v>
      </c>
      <c r="D75" s="37">
        <f>IFERROR('Data Sheet'!C82,0)</f>
        <v>-16377.5</v>
      </c>
      <c r="E75" s="37">
        <f>IFERROR('Data Sheet'!D82,0)</f>
        <v>-19455.18</v>
      </c>
      <c r="F75" s="37">
        <f>IFERROR('Data Sheet'!E82,0)</f>
        <v>-28076.12</v>
      </c>
      <c r="G75" s="37">
        <f>IFERROR('Data Sheet'!F82,0)</f>
        <v>-41748.19</v>
      </c>
      <c r="H75" s="37">
        <f>IFERROR('Data Sheet'!G82,0)</f>
        <v>-62700.61</v>
      </c>
      <c r="I75" s="37">
        <f>IFERROR('Data Sheet'!H82,0)</f>
        <v>-89906.65</v>
      </c>
      <c r="J75" s="37">
        <f>IFERROR('Data Sheet'!I82,0)</f>
        <v>-64412.28</v>
      </c>
      <c r="K75" s="37">
        <f>IFERROR('Data Sheet'!J82,0)</f>
        <v>-28588.36</v>
      </c>
      <c r="L75" s="37">
        <f>IFERROR('Data Sheet'!K82,0)</f>
        <v>7914.1</v>
      </c>
    </row>
    <row r="76" spans="1:13">
      <c r="B76" s="4"/>
      <c r="C76" s="29"/>
      <c r="D76" s="29"/>
      <c r="E76" s="29"/>
      <c r="F76" s="29"/>
      <c r="G76" s="29"/>
      <c r="H76" s="29"/>
      <c r="I76" s="29"/>
      <c r="J76" s="29"/>
      <c r="K76" s="29"/>
      <c r="L76" s="29"/>
    </row>
    <row r="77" spans="1:13">
      <c r="B77" s="4" t="s">
        <v>52</v>
      </c>
      <c r="C77" s="37">
        <f>IFERROR('Data Sheet'!B83,0)</f>
        <v>0</v>
      </c>
      <c r="D77" s="37">
        <f>IFERROR('Data Sheet'!C83,0)</f>
        <v>1.94</v>
      </c>
      <c r="E77" s="37">
        <f>IFERROR('Data Sheet'!D83,0)</f>
        <v>1.79</v>
      </c>
      <c r="F77" s="37">
        <f>IFERROR('Data Sheet'!E83,0)</f>
        <v>1.67</v>
      </c>
      <c r="G77" s="37">
        <f>IFERROR('Data Sheet'!F83,0)</f>
        <v>1.31</v>
      </c>
      <c r="H77" s="37">
        <f>IFERROR('Data Sheet'!G83,0)</f>
        <v>1.47</v>
      </c>
      <c r="I77" s="37">
        <f>IFERROR('Data Sheet'!H83,0)</f>
        <v>0.42</v>
      </c>
      <c r="J77" s="37">
        <f>IFERROR('Data Sheet'!I83,0)</f>
        <v>-4.72</v>
      </c>
      <c r="K77" s="37">
        <f>IFERROR('Data Sheet'!J83,0)</f>
        <v>0.09</v>
      </c>
      <c r="L77" s="37">
        <f>IFERROR('Data Sheet'!K83,0)</f>
        <v>-7.54</v>
      </c>
    </row>
    <row r="78" spans="1:13">
      <c r="B78" s="4"/>
      <c r="C78" s="29"/>
      <c r="D78" s="29"/>
      <c r="E78" s="29"/>
      <c r="F78" s="29"/>
      <c r="G78" s="29"/>
      <c r="H78" s="29"/>
      <c r="I78" s="29"/>
      <c r="J78" s="29"/>
      <c r="K78" s="29"/>
      <c r="L78" s="29"/>
    </row>
    <row r="79" spans="1:13">
      <c r="B79" s="4" t="s">
        <v>53</v>
      </c>
      <c r="C79" s="37">
        <f>IFERROR('Data Sheet'!B84,0)</f>
        <v>0</v>
      </c>
      <c r="D79" s="37">
        <f>IFERROR('Data Sheet'!C84,0)</f>
        <v>17581.7</v>
      </c>
      <c r="E79" s="37">
        <f>IFERROR('Data Sheet'!D84,0)</f>
        <v>18249.71</v>
      </c>
      <c r="F79" s="37">
        <f>IFERROR('Data Sheet'!E84,0)</f>
        <v>28074.63</v>
      </c>
      <c r="G79" s="37">
        <f>IFERROR('Data Sheet'!F84,0)</f>
        <v>41749.449999999997</v>
      </c>
      <c r="H79" s="37">
        <f>IFERROR('Data Sheet'!G84,0)</f>
        <v>62696.81</v>
      </c>
      <c r="I79" s="37">
        <f>IFERROR('Data Sheet'!H84,0)</f>
        <v>90202.04</v>
      </c>
      <c r="J79" s="37">
        <f>IFERROR('Data Sheet'!I84,0)</f>
        <v>64266.3</v>
      </c>
      <c r="K79" s="37">
        <f>IFERROR('Data Sheet'!J84,0)</f>
        <v>28644.48</v>
      </c>
      <c r="L79" s="37">
        <f>IFERROR('Data Sheet'!K84,0)</f>
        <v>-8046.42</v>
      </c>
    </row>
    <row r="80" spans="1:13">
      <c r="B80" s="4"/>
      <c r="C80" s="32"/>
      <c r="D80" s="32"/>
      <c r="E80" s="32"/>
      <c r="F80" s="32"/>
      <c r="G80" s="32"/>
      <c r="H80" s="32"/>
      <c r="I80" s="32"/>
      <c r="J80" s="32"/>
      <c r="K80" s="32"/>
      <c r="L80" s="32"/>
    </row>
    <row r="81" spans="2:12">
      <c r="B81" s="35" t="s">
        <v>54</v>
      </c>
      <c r="C81" s="38">
        <f>C75+C77+C79</f>
        <v>0</v>
      </c>
      <c r="D81" s="38">
        <f t="shared" ref="D81:L81" si="25">D75+D77+D79</f>
        <v>1206.1400000000012</v>
      </c>
      <c r="E81" s="38">
        <f t="shared" si="25"/>
        <v>-1203.6800000000003</v>
      </c>
      <c r="F81" s="38">
        <f t="shared" si="25"/>
        <v>0.18000000000029104</v>
      </c>
      <c r="G81" s="38">
        <f t="shared" si="25"/>
        <v>2.569999999992433</v>
      </c>
      <c r="H81" s="38">
        <f t="shared" si="25"/>
        <v>-2.3300000000017462</v>
      </c>
      <c r="I81" s="38">
        <f t="shared" si="25"/>
        <v>295.80999999999767</v>
      </c>
      <c r="J81" s="38">
        <f t="shared" si="25"/>
        <v>-150.69999999999709</v>
      </c>
      <c r="K81" s="38">
        <f t="shared" si="25"/>
        <v>56.209999999999127</v>
      </c>
      <c r="L81" s="38">
        <f t="shared" si="25"/>
        <v>-139.85999999999967</v>
      </c>
    </row>
    <row r="83" spans="2:12">
      <c r="B83" t="s">
        <v>2</v>
      </c>
      <c r="C83" t="s">
        <v>2</v>
      </c>
    </row>
    <row r="84" spans="2:12">
      <c r="B84" t="s">
        <v>2</v>
      </c>
    </row>
    <row r="89" spans="2:12">
      <c r="C89" t="s">
        <v>2</v>
      </c>
    </row>
  </sheetData>
  <mergeCells count="1">
    <mergeCell ref="B2:M2"/>
  </mergeCells>
  <pageMargins left="0.7" right="0.7" top="0.75" bottom="0.75" header="0.3" footer="0.3"/>
  <ignoredErrors>
    <ignoredError sqref="M7 C10:M10 C16:L16 M25 M28 M31 M1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8C38-68D7-4188-996C-E30732CA8AB4}">
  <dimension ref="B2:P40"/>
  <sheetViews>
    <sheetView showGridLines="0" zoomScale="82" zoomScaleNormal="82" workbookViewId="0">
      <selection activeCell="V18" sqref="V18"/>
    </sheetView>
  </sheetViews>
  <sheetFormatPr defaultRowHeight="15"/>
  <cols>
    <col min="1" max="1" width="1.85546875" customWidth="1"/>
    <col min="2" max="2" width="31" customWidth="1"/>
    <col min="3" max="12" width="11.7109375" customWidth="1"/>
    <col min="13" max="13" width="17.28515625" customWidth="1"/>
  </cols>
  <sheetData>
    <row r="2" spans="2:16">
      <c r="B2" s="53" t="str">
        <f>"Ratio Analysis - "&amp;'Data Sheet'!B1</f>
        <v>Ratio Analysis - INDIAN RAILWAY FINANCE CORPORATION LTD</v>
      </c>
      <c r="C2" s="53"/>
      <c r="D2" s="53"/>
      <c r="E2" s="53"/>
      <c r="F2" s="53"/>
      <c r="G2" s="53"/>
      <c r="H2" s="53"/>
      <c r="I2" s="53"/>
      <c r="J2" s="53"/>
      <c r="K2" s="53"/>
      <c r="L2" s="53"/>
      <c r="M2" s="53"/>
      <c r="N2" s="53"/>
      <c r="O2" s="53"/>
    </row>
    <row r="3" spans="2:16">
      <c r="B3" s="9" t="s">
        <v>0</v>
      </c>
      <c r="C3" s="10">
        <f>'Data Sheet'!B16</f>
        <v>42094</v>
      </c>
      <c r="D3" s="10">
        <f>'Data Sheet'!C16</f>
        <v>42460</v>
      </c>
      <c r="E3" s="10">
        <f>'Data Sheet'!D16</f>
        <v>42825</v>
      </c>
      <c r="F3" s="10">
        <f>'Data Sheet'!E16</f>
        <v>43190</v>
      </c>
      <c r="G3" s="10">
        <f>'Data Sheet'!F16</f>
        <v>43555</v>
      </c>
      <c r="H3" s="10">
        <f>'Data Sheet'!G16</f>
        <v>43921</v>
      </c>
      <c r="I3" s="10">
        <f>'Data Sheet'!H16</f>
        <v>44286</v>
      </c>
      <c r="J3" s="10">
        <f>'Data Sheet'!I16</f>
        <v>44651</v>
      </c>
      <c r="K3" s="10">
        <f>'Data Sheet'!J16</f>
        <v>45016</v>
      </c>
      <c r="L3" s="10">
        <f>'Data Sheet'!K16</f>
        <v>45382</v>
      </c>
      <c r="M3" s="15" t="s">
        <v>55</v>
      </c>
      <c r="N3" s="10" t="s">
        <v>56</v>
      </c>
      <c r="O3" s="10" t="s">
        <v>57</v>
      </c>
    </row>
    <row r="5" spans="2:16">
      <c r="B5" s="18" t="s">
        <v>58</v>
      </c>
      <c r="C5" s="18"/>
      <c r="D5" s="19">
        <f>IFERROR('Historical FS'!D8,0)</f>
        <v>8.1781879441260363E-2</v>
      </c>
      <c r="E5" s="19">
        <f>IFERROR('Historical FS'!E8,0)</f>
        <v>0.20524225723987533</v>
      </c>
      <c r="F5" s="19">
        <f>IFERROR('Historical FS'!F8,0)</f>
        <v>2.4289904922751182E-2</v>
      </c>
      <c r="G5" s="19">
        <f>IFERROR('Historical FS'!G8,0)</f>
        <v>0.20140518002317886</v>
      </c>
      <c r="H5" s="19">
        <f>IFERROR('Historical FS'!H8,0)</f>
        <v>0.20545304793871511</v>
      </c>
      <c r="I5" s="19">
        <f>IFERROR('Historical FS'!I8,0)</f>
        <v>0.17506046485289484</v>
      </c>
      <c r="J5" s="19">
        <f>IFERROR('Historical FS'!J8,0)</f>
        <v>0.28717333808481782</v>
      </c>
      <c r="K5" s="19">
        <f>IFERROR('Historical FS'!K8,0)</f>
        <v>0.16861155365336278</v>
      </c>
      <c r="L5" s="19">
        <f>IFERROR('Historical FS'!L8,0)</f>
        <v>0.12323450421105386</v>
      </c>
      <c r="M5" s="18" t="s">
        <v>2</v>
      </c>
      <c r="N5" s="19">
        <f>IFERROR(AVERAGE(D5:L5),0)</f>
        <v>0.1635835700408789</v>
      </c>
      <c r="O5" s="19">
        <f>IFERROR(MEDIAN(C5:L5),0)</f>
        <v>0.17506046485289484</v>
      </c>
      <c r="P5" t="s">
        <v>2</v>
      </c>
    </row>
    <row r="6" spans="2:16">
      <c r="B6" t="s">
        <v>59</v>
      </c>
      <c r="D6" s="20">
        <f>IFERROR('Historical FS'!D22/'Historical FS'!C22-1,0)</f>
        <v>8.1530900096734804E-2</v>
      </c>
      <c r="E6" s="20">
        <f>IFERROR('Historical FS'!E22/'Historical FS'!D22-1,0)</f>
        <v>0.20794029315162765</v>
      </c>
      <c r="F6" s="20">
        <f>IFERROR('Historical FS'!F22/'Historical FS'!E22-1,0)</f>
        <v>2.3023912901305454E-2</v>
      </c>
      <c r="G6" s="20">
        <f>IFERROR('Historical FS'!G22/'Historical FS'!F22-1,0)</f>
        <v>0.20109218567156417</v>
      </c>
      <c r="H6" s="20">
        <f>IFERROR('Historical FS'!H22/'Historical FS'!G22-1,0)</f>
        <v>0.20478533385294906</v>
      </c>
      <c r="I6" s="20">
        <f>IFERROR('Historical FS'!I22/'Historical FS'!H22-1,0)</f>
        <v>0.17237418561622841</v>
      </c>
      <c r="J6" s="20">
        <f>IFERROR('Historical FS'!J22/'Historical FS'!I22-1,0)</f>
        <v>0.28864911402235904</v>
      </c>
      <c r="K6" s="20">
        <f>IFERROR('Historical FS'!K22/'Historical FS'!J22-1,0)</f>
        <v>0.16905753853199279</v>
      </c>
      <c r="L6" s="20">
        <f>IFERROR('Historical FS'!L22/'Historical FS'!K22-1,0)</f>
        <v>0.12399815667186842</v>
      </c>
      <c r="M6" t="s">
        <v>2</v>
      </c>
      <c r="N6" s="20">
        <f t="shared" ref="N6:N9" si="0">IFERROR(AVERAGE(D6:L6),0)</f>
        <v>0.16360573561295888</v>
      </c>
      <c r="O6" s="20">
        <f t="shared" ref="O6:O9" si="1">IFERROR(MEDIAN(C6:L6),0)</f>
        <v>0.17237418561622841</v>
      </c>
    </row>
    <row r="7" spans="2:16">
      <c r="B7" t="s">
        <v>60</v>
      </c>
      <c r="D7" s="20">
        <f>IFERROR('Historical FS'!D31/'Historical FS'!C31-1,0)</f>
        <v>1.886358528337162E-2</v>
      </c>
      <c r="E7" s="20">
        <f>IFERROR('Historical FS'!E31/'Historical FS'!D31-1,0)</f>
        <v>9.4244087621197403E-2</v>
      </c>
      <c r="F7" s="20">
        <f>IFERROR('Historical FS'!F31/'Historical FS'!E31-1,0)</f>
        <v>0.21483724877051635</v>
      </c>
      <c r="G7" s="20">
        <f>IFERROR('Historical FS'!G31/'Historical FS'!F31-1,0)</f>
        <v>0.11976413019149001</v>
      </c>
      <c r="H7" s="20">
        <f>IFERROR('Historical FS'!H31/'Historical FS'!G31-1,0)</f>
        <v>0.10009305210918185</v>
      </c>
      <c r="I7" s="20">
        <f>IFERROR('Historical FS'!I31/'Historical FS'!H31-1,0)</f>
        <v>0.38338298825512251</v>
      </c>
      <c r="J7" s="20">
        <f>IFERROR('Historical FS'!J31/'Historical FS'!I31-1,0)</f>
        <v>0.37866977671090196</v>
      </c>
      <c r="K7" s="20">
        <f>IFERROR('Historical FS'!K31/'Historical FS'!J31-1,0)</f>
        <v>6.3354867746507892E-3</v>
      </c>
      <c r="L7" s="20">
        <f>IFERROR('Historical FS'!L31/'Historical FS'!K31-1,0)</f>
        <v>4.4919611523708491E-2</v>
      </c>
      <c r="M7" t="s">
        <v>2</v>
      </c>
      <c r="N7" s="20">
        <f t="shared" si="0"/>
        <v>0.15123444080446011</v>
      </c>
      <c r="O7" s="20">
        <f t="shared" si="1"/>
        <v>0.10009305210918185</v>
      </c>
    </row>
    <row r="8" spans="2:16">
      <c r="B8" t="s">
        <v>61</v>
      </c>
      <c r="D8" s="20">
        <f>IFERROR('Historical FS'!D37/'Historical FS'!C37-1,0)</f>
        <v>0.11920084399314157</v>
      </c>
      <c r="E8" s="20">
        <f>IFERROR('Historical FS'!E37/'Historical FS'!D37-1,0)</f>
        <v>0.10029574992046619</v>
      </c>
      <c r="F8" s="20">
        <f>IFERROR('Historical FS'!F37/'Historical FS'!E37-1,0)</f>
        <v>1.200297705100609</v>
      </c>
      <c r="G8" s="20">
        <f>IFERROR('Historical FS'!G37/'Historical FS'!F37-1,0)</f>
        <v>9.7378641721744819E-2</v>
      </c>
      <c r="H8" s="20">
        <f>IFERROR('Historical FS'!H37/'Historical FS'!G37-1,0)</f>
        <v>0.41572420766917828</v>
      </c>
      <c r="I8" s="20">
        <f>IFERROR('Historical FS'!I37/'Historical FS'!H37-1,0)</f>
        <v>0.38346036609243428</v>
      </c>
      <c r="J8" s="20">
        <f>IFERROR('Historical FS'!J37/'Historical FS'!I37-1,0)</f>
        <v>0.3789969951065757</v>
      </c>
      <c r="K8" s="20">
        <f>IFERROR('Historical FS'!K37/'Historical FS'!J37-1,0)</f>
        <v>1.2698219818943812E-2</v>
      </c>
      <c r="L8" s="20">
        <f>IFERROR('Historical FS'!L37/'Historical FS'!K37-1,0)</f>
        <v>3.9718444146090048E-2</v>
      </c>
      <c r="M8" t="s">
        <v>2</v>
      </c>
      <c r="N8" s="20">
        <f t="shared" si="0"/>
        <v>0.30530790817435377</v>
      </c>
      <c r="O8" s="20">
        <f t="shared" si="1"/>
        <v>0.11920084399314157</v>
      </c>
    </row>
    <row r="9" spans="2:16">
      <c r="B9" s="21" t="s">
        <v>62</v>
      </c>
      <c r="C9" s="21"/>
      <c r="D9" s="22">
        <f>'Historical FS'!D43</f>
        <v>-0.11551014978025465</v>
      </c>
      <c r="E9" s="22">
        <f>'Historical FS'!E43</f>
        <v>-0.23670141697707325</v>
      </c>
      <c r="F9" s="22">
        <f>'Historical FS'!F43</f>
        <v>-0.97798522329838811</v>
      </c>
      <c r="G9" s="22">
        <f>'Historical FS'!G43</f>
        <v>-0.23649680665242079</v>
      </c>
      <c r="H9" s="22">
        <f>'Historical FS'!H43</f>
        <v>0.11781498506297949</v>
      </c>
      <c r="I9" s="22">
        <f>'Historical FS'!I43</f>
        <v>0.25769605382110927</v>
      </c>
      <c r="J9" s="22">
        <f>'Historical FS'!J43</f>
        <v>0.3789969951065757</v>
      </c>
      <c r="K9" s="22">
        <f>'Historical FS'!K43</f>
        <v>1.2698219818943812E-2</v>
      </c>
      <c r="L9" s="22">
        <f>'Historical FS'!L43</f>
        <v>3.9718444146090048E-2</v>
      </c>
      <c r="M9" s="21" t="s">
        <v>2</v>
      </c>
      <c r="N9" s="22">
        <f t="shared" si="0"/>
        <v>-8.4418766528048694E-2</v>
      </c>
      <c r="O9" s="22">
        <f t="shared" si="1"/>
        <v>1.2698219818943812E-2</v>
      </c>
    </row>
    <row r="10" spans="2:16">
      <c r="N10" s="16"/>
      <c r="O10" s="16"/>
    </row>
    <row r="11" spans="2:16">
      <c r="B11" s="18" t="s">
        <v>63</v>
      </c>
      <c r="C11" s="19">
        <f>IFERROR('Historical FS'!C14,0)</f>
        <v>0.99952299908202535</v>
      </c>
      <c r="D11" s="19">
        <f>IFERROR('Historical FS'!D14,0)</f>
        <v>0.99942850976928577</v>
      </c>
      <c r="E11" s="19">
        <f>IFERROR('Historical FS'!E14,0)</f>
        <v>0.99964409585979597</v>
      </c>
      <c r="F11" s="19">
        <f>IFERROR('Historical FS'!F14,0)</f>
        <v>0.99937736993290271</v>
      </c>
      <c r="G11" s="19">
        <f>IFERROR('Historical FS'!G14,0)</f>
        <v>0.9993991156491302</v>
      </c>
      <c r="H11" s="19">
        <f>IFERROR('Historical FS'!H14,0)</f>
        <v>0.99934133173186535</v>
      </c>
      <c r="I11" s="19">
        <f>IFERROR('Historical FS'!I14,0)</f>
        <v>0.99931073884103938</v>
      </c>
      <c r="J11" s="19">
        <f>IFERROR('Historical FS'!J14,0)</f>
        <v>0.99924726765053917</v>
      </c>
      <c r="K11" s="19">
        <f>IFERROR('Historical FS'!K14,0)</f>
        <v>0.99926650645031689</v>
      </c>
      <c r="L11" s="19">
        <f>IFERROR('Historical FS'!L14,0)</f>
        <v>0.99941603582147354</v>
      </c>
      <c r="M11" s="18"/>
      <c r="N11" s="19">
        <f t="shared" ref="N11:N15" si="2">IFERROR(AVERAGE(C11:L11),0)</f>
        <v>0.99939539707883751</v>
      </c>
      <c r="O11" s="19">
        <f t="shared" ref="O11:O15" si="3">IFERROR(MEDIAN(C11:L11),0)</f>
        <v>0.99938824279101646</v>
      </c>
    </row>
    <row r="12" spans="2:16">
      <c r="B12" t="s">
        <v>64</v>
      </c>
      <c r="C12" s="20">
        <f>IFERROR('Historical FS'!C23,0)</f>
        <v>0.99514208430666984</v>
      </c>
      <c r="D12" s="20">
        <f>IFERROR('Historical FS'!D23,0)</f>
        <v>0.99491120587102977</v>
      </c>
      <c r="E12" s="20">
        <f>IFERROR('Historical FS'!E23,0)</f>
        <v>0.99713839807767557</v>
      </c>
      <c r="F12" s="20">
        <f>IFERROR('Historical FS'!F23,0)</f>
        <v>0.99590596451548152</v>
      </c>
      <c r="G12" s="20">
        <f>IFERROR('Historical FS'!G23,0)</f>
        <v>0.99564650755057438</v>
      </c>
      <c r="H12" s="20">
        <f>IFERROR('Historical FS'!H23,0)</f>
        <v>0.99509500768197945</v>
      </c>
      <c r="I12" s="20">
        <f>IFERROR('Historical FS'!I23,0)</f>
        <v>0.99282014341958491</v>
      </c>
      <c r="J12" s="20">
        <f>IFERROR('Historical FS'!J23,0)</f>
        <v>0.99395843616898649</v>
      </c>
      <c r="K12" s="20">
        <f>IFERROR('Historical FS'!K23,0)</f>
        <v>0.99433776703486076</v>
      </c>
      <c r="L12" s="20">
        <f>IFERROR('Historical FS'!L23,0)</f>
        <v>0.99501378658361062</v>
      </c>
      <c r="N12" s="20">
        <f t="shared" si="2"/>
        <v>0.99499693012104529</v>
      </c>
      <c r="O12" s="20">
        <f t="shared" si="3"/>
        <v>0.99505439713279498</v>
      </c>
    </row>
    <row r="13" spans="2:16">
      <c r="B13" t="s">
        <v>65</v>
      </c>
      <c r="C13" s="20">
        <f>IFERROR(('Historical FS'!C22-'Historical FS'!C28)/'Historical FS'!C7,0)</f>
        <v>0.99507867632965807</v>
      </c>
      <c r="D13" s="20">
        <f>IFERROR(('Historical FS'!D22-'Historical FS'!D28)/'Historical FS'!D7,0)</f>
        <v>0.99486458079393181</v>
      </c>
      <c r="E13" s="20">
        <f>IFERROR(('Historical FS'!E22-'Historical FS'!E28)/'Historical FS'!E7,0)</f>
        <v>0.99709971284504462</v>
      </c>
      <c r="F13" s="20">
        <f>IFERROR(('Historical FS'!F22-'Historical FS'!F28)/'Historical FS'!F7,0)</f>
        <v>0.99586819666045823</v>
      </c>
      <c r="G13" s="20">
        <f>IFERROR(('Historical FS'!G22-'Historical FS'!G28)/'Historical FS'!G7,0)</f>
        <v>0.99560878386935381</v>
      </c>
      <c r="H13" s="20">
        <f>IFERROR(('Historical FS'!H22-'Historical FS'!H28)/'Historical FS'!H7,0)</f>
        <v>0.99506073308884135</v>
      </c>
      <c r="I13" s="20">
        <f>IFERROR(('Historical FS'!I22-'Historical FS'!I28)/'Historical FS'!I7,0)</f>
        <v>0.99253923937780064</v>
      </c>
      <c r="J13" s="20">
        <f>IFERROR(('Historical FS'!J22-'Historical FS'!J28)/'Historical FS'!J7,0)</f>
        <v>0.99326728205491999</v>
      </c>
      <c r="K13" s="20">
        <f>IFERROR(('Historical FS'!K22-'Historical FS'!K28)/'Historical FS'!K7,0)</f>
        <v>0.99374507052287542</v>
      </c>
      <c r="L13" s="20">
        <f>IFERROR(('Historical FS'!L22-'Historical FS'!L28)/'Historical FS'!L7,0)</f>
        <v>0.99465950497401623</v>
      </c>
      <c r="N13" s="20">
        <f t="shared" si="2"/>
        <v>0.99477917805169014</v>
      </c>
      <c r="O13" s="20">
        <f t="shared" si="3"/>
        <v>0.99496265694138653</v>
      </c>
    </row>
    <row r="14" spans="2:16">
      <c r="B14" t="s">
        <v>66</v>
      </c>
      <c r="C14" s="20">
        <f>IFERROR('Historical FS'!C32,0)</f>
        <v>0.27571085386046501</v>
      </c>
      <c r="D14" s="20">
        <f>IFERROR('Historical FS'!D32,0)</f>
        <v>0.2596750365340782</v>
      </c>
      <c r="E14" s="20">
        <f>IFERROR('Historical FS'!E32,0)</f>
        <v>0.23575996586857184</v>
      </c>
      <c r="F14" s="20">
        <f>IFERROR('Historical FS'!F32,0)</f>
        <v>0.27961809145000494</v>
      </c>
      <c r="G14" s="20">
        <f>IFERROR('Historical FS'!G32,0)</f>
        <v>0.26061674626063996</v>
      </c>
      <c r="H14" s="20">
        <f>IFERROR('Historical FS'!H32,0)</f>
        <v>0.2378381076848109</v>
      </c>
      <c r="I14" s="20">
        <f>IFERROR('Historical FS'!I32,0)</f>
        <v>0.28000362702284193</v>
      </c>
      <c r="J14" s="20">
        <f>IFERROR('Historical FS'!J32,0)</f>
        <v>0.2999071892836136</v>
      </c>
      <c r="K14" s="20">
        <f>IFERROR('Historical FS'!K32,0)</f>
        <v>0.25826139265132203</v>
      </c>
      <c r="L14" s="20">
        <f>IFERROR('Historical FS'!L32,0)</f>
        <v>0.24025472247252536</v>
      </c>
      <c r="N14" s="20">
        <f t="shared" si="2"/>
        <v>0.26276457330888736</v>
      </c>
      <c r="O14" s="20">
        <f t="shared" si="3"/>
        <v>0.26014589139735911</v>
      </c>
    </row>
    <row r="15" spans="2:16">
      <c r="B15" s="21" t="s">
        <v>67</v>
      </c>
      <c r="C15" s="22">
        <f>IFERROR('Historical FS'!C38,0)</f>
        <v>0.1092778840181635</v>
      </c>
      <c r="D15" s="22">
        <f>IFERROR('Historical FS'!D38,0)</f>
        <v>0.11305781909203647</v>
      </c>
      <c r="E15" s="22">
        <f>IFERROR('Historical FS'!E38,0)</f>
        <v>0.1032133059515572</v>
      </c>
      <c r="F15" s="22">
        <f>IFERROR('Historical FS'!F38,0)</f>
        <v>0.22171457429152885</v>
      </c>
      <c r="G15" s="22">
        <f>IFERROR('Historical FS'!G38,0)</f>
        <v>0.20251688808371768</v>
      </c>
      <c r="H15" s="22">
        <f>IFERROR('Historical FS'!H38,0)</f>
        <v>0.23784257828391586</v>
      </c>
      <c r="I15" s="22">
        <f>IFERROR('Historical FS'!I38,0)</f>
        <v>0.28002455215462274</v>
      </c>
      <c r="J15" s="22">
        <f>IFERROR('Historical FS'!J38,0)</f>
        <v>0.30000078820141307</v>
      </c>
      <c r="K15" s="22">
        <f>IFERROR('Historical FS'!K38,0)</f>
        <v>0.25997540688868476</v>
      </c>
      <c r="L15" s="22">
        <f>IFERROR('Historical FS'!L38,0)</f>
        <v>0.24064540801869888</v>
      </c>
      <c r="M15" s="21"/>
      <c r="N15" s="22">
        <f t="shared" si="2"/>
        <v>0.20682692049843393</v>
      </c>
      <c r="O15" s="22">
        <f t="shared" si="3"/>
        <v>0.22977857628772236</v>
      </c>
    </row>
    <row r="16" spans="2:16">
      <c r="N16" s="16"/>
      <c r="O16" s="16"/>
    </row>
    <row r="17" spans="2:15">
      <c r="B17" s="18" t="s">
        <v>68</v>
      </c>
      <c r="C17" s="19">
        <f>IFERROR('Historical FS'!C17,0)</f>
        <v>4.3809147753556248E-3</v>
      </c>
      <c r="D17" s="19">
        <f>IFERROR('Historical FS'!D17,0)</f>
        <v>4.5173038982560896E-3</v>
      </c>
      <c r="E17" s="19">
        <f>IFERROR('Historical FS'!E17,0)</f>
        <v>2.5056977821203493E-3</v>
      </c>
      <c r="F17" s="19">
        <f>IFERROR('Historical FS'!F17,0)</f>
        <v>3.4714054174211249E-3</v>
      </c>
      <c r="G17" s="19">
        <f>IFERROR('Historical FS'!G17,0)</f>
        <v>3.7526080985558117E-3</v>
      </c>
      <c r="H17" s="19">
        <f>IFERROR('Historical FS'!H17,0)</f>
        <v>4.2463240498859245E-3</v>
      </c>
      <c r="I17" s="19">
        <f>IFERROR('Historical FS'!I17,0)</f>
        <v>6.4905954214543472E-3</v>
      </c>
      <c r="J17" s="19">
        <f>IFERROR('Historical FS'!J17,0)</f>
        <v>5.288831481552638E-3</v>
      </c>
      <c r="K17" s="19">
        <f>IFERROR('Historical FS'!K17,0)</f>
        <v>4.9287394154562264E-3</v>
      </c>
      <c r="L17" s="19">
        <f>IFERROR('Historical FS'!L17,0)</f>
        <v>4.4022492378629459E-3</v>
      </c>
      <c r="M17" s="18"/>
      <c r="N17" s="19">
        <f t="shared" ref="N17:N19" si="4">IFERROR(AVERAGE(C17:L17),0)</f>
        <v>4.398466957792108E-3</v>
      </c>
      <c r="O17" s="19">
        <f t="shared" ref="O17:O19" si="5">IFERROR(MEDIAN(C17:L17),0)</f>
        <v>4.3915820066092858E-3</v>
      </c>
    </row>
    <row r="18" spans="2:15">
      <c r="B18" t="s">
        <v>20</v>
      </c>
      <c r="C18" s="20">
        <f>IFERROR('Historical FS'!C29,0)</f>
        <v>6.3407977011726159E-5</v>
      </c>
      <c r="D18" s="20">
        <f>IFERROR('Historical FS'!D29,0)</f>
        <v>4.6625077097895344E-5</v>
      </c>
      <c r="E18" s="20">
        <f>IFERROR('Historical FS'!E29,0)</f>
        <v>3.8685232630883198E-5</v>
      </c>
      <c r="F18" s="20">
        <f>IFERROR('Historical FS'!F29,0)</f>
        <v>3.7767855023232628E-5</v>
      </c>
      <c r="G18" s="20">
        <f>IFERROR('Historical FS'!G29,0)</f>
        <v>3.7723681220522758E-5</v>
      </c>
      <c r="H18" s="20">
        <f>IFERROR('Historical FS'!H29,0)</f>
        <v>3.4274593138226452E-5</v>
      </c>
      <c r="I18" s="20">
        <f>IFERROR('Historical FS'!I29,0)</f>
        <v>2.8090404178431766E-4</v>
      </c>
      <c r="J18" s="20">
        <f>IFERROR('Historical FS'!J29,0)</f>
        <v>6.9115411406653793E-4</v>
      </c>
      <c r="K18" s="20">
        <f>IFERROR('Historical FS'!K29,0)</f>
        <v>5.9269651198524248E-4</v>
      </c>
      <c r="L18" s="20">
        <f>IFERROR('Historical FS'!L29,0)</f>
        <v>3.5428160959442633E-4</v>
      </c>
      <c r="N18" s="20">
        <f t="shared" si="4"/>
        <v>2.1775206935530111E-4</v>
      </c>
      <c r="O18" s="20">
        <f t="shared" si="5"/>
        <v>5.5016527054810755E-5</v>
      </c>
    </row>
    <row r="19" spans="2:15">
      <c r="B19" s="21" t="s">
        <v>69</v>
      </c>
      <c r="C19" s="23">
        <f>C13</f>
        <v>0.99507867632965807</v>
      </c>
      <c r="D19" s="23">
        <f t="shared" ref="D19:L19" si="6">D13</f>
        <v>0.99486458079393181</v>
      </c>
      <c r="E19" s="23">
        <f t="shared" si="6"/>
        <v>0.99709971284504462</v>
      </c>
      <c r="F19" s="23">
        <f t="shared" si="6"/>
        <v>0.99586819666045823</v>
      </c>
      <c r="G19" s="23">
        <f t="shared" si="6"/>
        <v>0.99560878386935381</v>
      </c>
      <c r="H19" s="23">
        <f t="shared" si="6"/>
        <v>0.99506073308884135</v>
      </c>
      <c r="I19" s="23">
        <f t="shared" si="6"/>
        <v>0.99253923937780064</v>
      </c>
      <c r="J19" s="23">
        <f t="shared" si="6"/>
        <v>0.99326728205491999</v>
      </c>
      <c r="K19" s="23">
        <f t="shared" si="6"/>
        <v>0.99374507052287542</v>
      </c>
      <c r="L19" s="23">
        <f t="shared" si="6"/>
        <v>0.99465950497401623</v>
      </c>
      <c r="M19" s="21"/>
      <c r="N19" s="22">
        <f t="shared" si="4"/>
        <v>0.99477917805169014</v>
      </c>
      <c r="O19" s="22">
        <f t="shared" si="5"/>
        <v>0.99496265694138653</v>
      </c>
    </row>
    <row r="20" spans="2:15">
      <c r="N20" s="16"/>
      <c r="O20" s="16"/>
    </row>
    <row r="21" spans="2:15">
      <c r="B21" s="18" t="s">
        <v>70</v>
      </c>
      <c r="C21" s="19">
        <f>IFERROR(('Historical FS'!C22-'Historical FS'!C28)/SUM('Historical FS'!C52:C54),0)</f>
        <v>8.636563985749314E-2</v>
      </c>
      <c r="D21" s="19">
        <f>IFERROR(('Historical FS'!D22-'Historical FS'!D28)/SUM('Historical FS'!D52:D54),0)</f>
        <v>7.5414024625024723E-2</v>
      </c>
      <c r="E21" s="19">
        <f>IFERROR(('Historical FS'!E22-'Historical FS'!E28)/SUM('Historical FS'!E52:E54),0)</f>
        <v>7.6189190846358307E-2</v>
      </c>
      <c r="F21" s="19">
        <f>IFERROR(('Historical FS'!F22-'Historical FS'!F28)/SUM('Historical FS'!F52:F54),0)</f>
        <v>6.2384822118912032E-2</v>
      </c>
      <c r="G21" s="19">
        <f>IFERROR(('Historical FS'!G22-'Historical FS'!G28)/SUM('Historical FS'!G52:G54),0)</f>
        <v>5.5712839058365708E-2</v>
      </c>
      <c r="H21" s="19">
        <f>IFERROR(('Historical FS'!H22-'Historical FS'!H28)/SUM('Historical FS'!H52:H54),0)</f>
        <v>5.0456808646420298E-2</v>
      </c>
      <c r="I21" s="19">
        <f>IFERROR(('Historical FS'!I22-'Historical FS'!I28)/SUM('Historical FS'!I52:I54),0)</f>
        <v>4.359413148798949E-2</v>
      </c>
      <c r="J21" s="19">
        <f>IFERROR(('Historical FS'!J22-'Historical FS'!J28)/SUM('Historical FS'!J52:J54),0)</f>
        <v>4.6951572399641761E-2</v>
      </c>
      <c r="K21" s="19">
        <f>IFERROR(('Historical FS'!K22-'Historical FS'!K28)/SUM('Historical FS'!K52:K54),0)</f>
        <v>5.0847589969515439E-2</v>
      </c>
      <c r="L21" s="19">
        <f>IFERROR(('Historical FS'!L22-'Historical FS'!L28)/SUM('Historical FS'!L52:L54),0)</f>
        <v>5.7463547155201904E-2</v>
      </c>
      <c r="M21" s="18"/>
      <c r="N21" s="19">
        <f t="shared" ref="N21:N22" si="7">IFERROR(AVERAGE(C21:L21),0)</f>
        <v>6.0538016616492274E-2</v>
      </c>
      <c r="O21" s="19">
        <f t="shared" ref="O21:O25" si="8">IFERROR(MEDIAN(C21:L21),0)</f>
        <v>5.6588193106783806E-2</v>
      </c>
    </row>
    <row r="22" spans="2:15">
      <c r="B22" t="s">
        <v>71</v>
      </c>
      <c r="C22" s="20">
        <f>IFERROR('Historical FS'!C48,0)</f>
        <v>0.79960437821442698</v>
      </c>
      <c r="D22" s="20">
        <f>IFERROR('Historical FS'!D48,0)</f>
        <v>0.59999528685385672</v>
      </c>
      <c r="E22" s="20">
        <f>IFERROR('Historical FS'!E48,0)</f>
        <v>0.60022916867456955</v>
      </c>
      <c r="F22" s="20">
        <f>IFERROR('Historical FS'!F48,0)</f>
        <v>0.81735664294822485</v>
      </c>
      <c r="G22" s="20">
        <f>IFERROR('Historical FS'!G48,0)</f>
        <v>0.82276892235911891</v>
      </c>
      <c r="H22" s="20">
        <f>IFERROR('Historical FS'!H48,0)</f>
        <v>1</v>
      </c>
      <c r="I22" s="20">
        <f>IFERROR('Historical FS'!I48,0)</f>
        <v>0.68927771600926602</v>
      </c>
      <c r="J22" s="20">
        <f>IFERROR('Historical FS'!J48,0)</f>
        <v>0.6995663261536037</v>
      </c>
      <c r="K22" s="20">
        <f>IFERROR('Historical FS'!K48,0)</f>
        <v>0.68214218538192617</v>
      </c>
      <c r="L22" s="20">
        <f>IFERROR('Historical FS'!L48,0)</f>
        <v>0.69428472063018254</v>
      </c>
      <c r="N22" s="20">
        <f t="shared" si="7"/>
        <v>0.7405225347225175</v>
      </c>
      <c r="O22" s="20">
        <f t="shared" si="8"/>
        <v>0.69692552339189318</v>
      </c>
    </row>
    <row r="23" spans="2:15">
      <c r="B23" t="s">
        <v>72</v>
      </c>
      <c r="C23" s="20">
        <f>IFERROR('Historical FS'!C37/SUM('Historical FS'!C52:C53),0)</f>
        <v>8.7345549961355087E-2</v>
      </c>
      <c r="D23" s="20">
        <f>IFERROR('Historical FS'!D37/SUM('Historical FS'!D52:D53),0)</f>
        <v>7.3636809294294669E-2</v>
      </c>
      <c r="E23" s="20">
        <f>IFERROR('Historical FS'!E37/SUM('Historical FS'!E52:E53),0)</f>
        <v>7.7755295763389243E-2</v>
      </c>
      <c r="F23" s="20">
        <f>IFERROR('Historical FS'!F37/SUM('Historical FS'!F52:F53),0)</f>
        <v>0.14751279553209948</v>
      </c>
      <c r="G23" s="20">
        <f>IFERROR('Historical FS'!G37/SUM('Historical FS'!G52:G53),0)</f>
        <v>9.0086361030259257E-2</v>
      </c>
      <c r="H23" s="20">
        <f>IFERROR('Historical FS'!H37/SUM('Historical FS'!H52:H53),0)</f>
        <v>0.10535037417800479</v>
      </c>
      <c r="I23" s="20">
        <f>IFERROR('Historical FS'!I37/SUM('Historical FS'!I52:I53),0)</f>
        <v>0.12296611375311546</v>
      </c>
      <c r="J23" s="20">
        <f>IFERROR('Historical FS'!J37/SUM('Historical FS'!J52:J53),0)</f>
        <v>0.14854569944536514</v>
      </c>
      <c r="K23" s="20">
        <f>IFERROR('Historical FS'!K37/SUM('Historical FS'!K52:K53),0)</f>
        <v>0.13802895645698909</v>
      </c>
      <c r="L23" s="20">
        <f>IFERROR('Historical FS'!L37/SUM('Historical FS'!L52:L53),0)</f>
        <v>0.13038423036700744</v>
      </c>
      <c r="N23" s="20">
        <f>IFERROR(AVERAGE(C23:L23),0)</f>
        <v>0.11216121857818798</v>
      </c>
      <c r="O23" s="20">
        <f t="shared" si="8"/>
        <v>0.11415824396556012</v>
      </c>
    </row>
    <row r="24" spans="2:15">
      <c r="B24" t="s">
        <v>73</v>
      </c>
      <c r="C24" s="20">
        <f>IFERROR(C22*C23,0)</f>
        <v>6.9841884166646495E-2</v>
      </c>
      <c r="D24" s="20">
        <f t="shared" ref="D24:L24" si="9">IFERROR(D22*D23,0)</f>
        <v>4.4181738515533073E-2</v>
      </c>
      <c r="E24" s="20">
        <f t="shared" si="9"/>
        <v>4.6670996536104403E-2</v>
      </c>
      <c r="F24" s="20">
        <f t="shared" si="9"/>
        <v>0.12057056334802473</v>
      </c>
      <c r="G24" s="20">
        <f t="shared" si="9"/>
        <v>7.4120258184120935E-2</v>
      </c>
      <c r="H24" s="20">
        <f t="shared" si="9"/>
        <v>0.10535037417800479</v>
      </c>
      <c r="I24" s="20">
        <f t="shared" si="9"/>
        <v>8.4757802034283014E-2</v>
      </c>
      <c r="J24" s="20">
        <f t="shared" si="9"/>
        <v>0.10391756922691149</v>
      </c>
      <c r="K24" s="20">
        <f t="shared" si="9"/>
        <v>9.4155374003557266E-2</v>
      </c>
      <c r="L24" s="20">
        <f t="shared" si="9"/>
        <v>9.0523778954939127E-2</v>
      </c>
      <c r="N24" s="20">
        <f t="shared" ref="N24:N25" si="10">IFERROR(AVERAGE(C24:L24),0)</f>
        <v>8.3409033914812539E-2</v>
      </c>
      <c r="O24" s="20">
        <f t="shared" si="8"/>
        <v>8.7640790494611071E-2</v>
      </c>
    </row>
    <row r="25" spans="2:15">
      <c r="B25" s="21" t="s">
        <v>74</v>
      </c>
      <c r="C25" s="24">
        <f>IFERROR(('Historical FS'!C22-'Historical FS'!C28)/'Historical FS'!C25,0)</f>
        <v>1.3832682603373914</v>
      </c>
      <c r="D25" s="24">
        <f>IFERROR(('Historical FS'!D22-'Historical FS'!D28)/'Historical FS'!D25,0)</f>
        <v>1.3532082829000296</v>
      </c>
      <c r="E25" s="24">
        <f>IFERROR(('Historical FS'!E22-'Historical FS'!E28)/'Historical FS'!E25,0)</f>
        <v>1.3096645969225318</v>
      </c>
      <c r="F25" s="24">
        <f>IFERROR(('Historical FS'!F22-'Historical FS'!F28)/'Historical FS'!F25,0)</f>
        <v>1.3903916933706357</v>
      </c>
      <c r="G25" s="24">
        <f>IFERROR(('Historical FS'!G22-'Historical FS'!G28)/'Historical FS'!G25,0)</f>
        <v>1.3545844484364113</v>
      </c>
      <c r="H25" s="24">
        <f>IFERROR(('Historical FS'!H22-'Historical FS'!H28)/'Historical FS'!H25,0)</f>
        <v>1.314092711582552</v>
      </c>
      <c r="I25" s="24">
        <f>IFERROR(('Historical FS'!I22-'Historical FS'!I28)/'Historical FS'!I25,0)</f>
        <v>1.3929679052776307</v>
      </c>
      <c r="J25" s="24">
        <f>IFERROR(('Historical FS'!J22-'Historical FS'!J28)/'Historical FS'!J25,0)</f>
        <v>1.4325417519847559</v>
      </c>
      <c r="K25" s="24">
        <f>IFERROR(('Historical FS'!K22-'Historical FS'!K28)/'Historical FS'!K25,0)</f>
        <v>1.3511449681639642</v>
      </c>
      <c r="L25" s="24">
        <f>IFERROR(('Historical FS'!L22-'Historical FS'!L28)/'Historical FS'!L25,0)</f>
        <v>1.3184692462790035</v>
      </c>
      <c r="M25" s="21"/>
      <c r="N25" s="22">
        <f t="shared" si="10"/>
        <v>1.3600333865254908</v>
      </c>
      <c r="O25" s="24">
        <f t="shared" si="8"/>
        <v>1.3538963656682204</v>
      </c>
    </row>
    <row r="26" spans="2:15">
      <c r="N26" s="17"/>
      <c r="O26" s="17"/>
    </row>
    <row r="27" spans="2:15">
      <c r="B27" s="18" t="s">
        <v>75</v>
      </c>
      <c r="C27" s="25">
        <f>IFERROR('Historical FS'!C7/'Historical FS'!C64,0)</f>
        <v>0</v>
      </c>
      <c r="D27" s="25">
        <f>IFERROR('Historical FS'!D7/'Historical FS'!D64,0)</f>
        <v>0</v>
      </c>
      <c r="E27" s="25">
        <f>IFERROR('Historical FS'!E7/'Historical FS'!E64,0)</f>
        <v>0</v>
      </c>
      <c r="F27" s="25">
        <f>IFERROR('Historical FS'!F7/'Historical FS'!F64,0)</f>
        <v>0</v>
      </c>
      <c r="G27" s="25">
        <f>IFERROR('Historical FS'!G7/'Historical FS'!G64,0)</f>
        <v>0</v>
      </c>
      <c r="H27" s="25">
        <f>IFERROR('Historical FS'!H7/'Historical FS'!H64,0)</f>
        <v>0</v>
      </c>
      <c r="I27" s="25">
        <f>IFERROR('Historical FS'!I7/'Historical FS'!I64,0)</f>
        <v>0</v>
      </c>
      <c r="J27" s="25">
        <f>IFERROR('Historical FS'!J7/'Historical FS'!J64,0)</f>
        <v>0.1011466796218095</v>
      </c>
      <c r="K27" s="25">
        <f>IFERROR('Historical FS'!K7/'Historical FS'!K64,0)</f>
        <v>9.7478612376958998E-2</v>
      </c>
      <c r="L27" s="25">
        <f>IFERROR('Historical FS'!L7/'Historical FS'!L64,0)</f>
        <v>0.10260467648809776</v>
      </c>
      <c r="M27" s="18"/>
      <c r="N27" s="25">
        <f t="shared" ref="N27:N31" si="11">IFERROR(AVERAGE(C27:L27),0)</f>
        <v>3.0122996848686624E-2</v>
      </c>
      <c r="O27" s="25">
        <f t="shared" ref="O27:O31" si="12">IFERROR(MEDIAN(C27:L27),0)</f>
        <v>0</v>
      </c>
    </row>
    <row r="28" spans="2:15">
      <c r="B28" t="s">
        <v>76</v>
      </c>
      <c r="C28" s="17">
        <f>IFERROR('Historical FS'!C7/'Historical FS'!C55,0)</f>
        <v>0.90169119319104696</v>
      </c>
      <c r="D28" s="17">
        <f>IFERROR('Historical FS'!D7/'Historical FS'!D55,0)</f>
        <v>0.80098187552951061</v>
      </c>
      <c r="E28" s="17">
        <f>IFERROR('Historical FS'!E7/'Historical FS'!E55,0)</f>
        <v>0.80455697868507092</v>
      </c>
      <c r="F28" s="17">
        <f>IFERROR('Historical FS'!F7/'Historical FS'!F55,0)</f>
        <v>0.68472524955482816</v>
      </c>
      <c r="G28" s="17">
        <f>IFERROR('Historical FS'!G7/'Historical FS'!G55,0)</f>
        <v>1.4568395075298111</v>
      </c>
      <c r="H28" s="17">
        <f>IFERROR('Historical FS'!H7/'Historical FS'!H55,0)</f>
        <v>1.2395125077809981</v>
      </c>
      <c r="I28" s="17">
        <f>IFERROR('Historical FS'!I7/'Historical FS'!I55,0)</f>
        <v>0.73615299910796272</v>
      </c>
      <c r="J28" s="17">
        <f>IFERROR('Historical FS'!J7/'Historical FS'!J55,0)</f>
        <v>0.98809720252863265</v>
      </c>
      <c r="K28" s="17">
        <f>IFERROR('Historical FS'!K7/'Historical FS'!K55,0)</f>
        <v>0.88701733420182582</v>
      </c>
      <c r="L28" s="17">
        <f>IFERROR('Historical FS'!L7/'Historical FS'!L55,0)</f>
        <v>1.1164923692685711</v>
      </c>
      <c r="N28" s="17">
        <f t="shared" si="11"/>
        <v>0.96160672173782591</v>
      </c>
      <c r="O28" s="17">
        <f t="shared" si="12"/>
        <v>0.89435426369643634</v>
      </c>
    </row>
    <row r="29" spans="2:15">
      <c r="B29" t="s">
        <v>77</v>
      </c>
      <c r="C29" s="17">
        <f>IFERROR('Historical FS'!C7/'Historical FS'!C65,0)</f>
        <v>0</v>
      </c>
      <c r="D29" s="17">
        <f>IFERROR('Historical FS'!D7/'Historical FS'!D65,0)</f>
        <v>0</v>
      </c>
      <c r="E29" s="17">
        <f>IFERROR('Historical FS'!E7/'Historical FS'!E65,0)</f>
        <v>0</v>
      </c>
      <c r="F29" s="17">
        <f>IFERROR('Historical FS'!F7/'Historical FS'!F65,0)</f>
        <v>0</v>
      </c>
      <c r="G29" s="17">
        <f>IFERROR('Historical FS'!G7/'Historical FS'!G65,0)</f>
        <v>0</v>
      </c>
      <c r="H29" s="17">
        <f>IFERROR('Historical FS'!H7/'Historical FS'!H65,0)</f>
        <v>0</v>
      </c>
      <c r="I29" s="17">
        <f>IFERROR('Historical FS'!I7/'Historical FS'!I65,0)</f>
        <v>0</v>
      </c>
      <c r="J29" s="17">
        <f>IFERROR('Historical FS'!J7/'Historical FS'!J65,0)</f>
        <v>0</v>
      </c>
      <c r="K29" s="17">
        <f>IFERROR('Historical FS'!K7/'Historical FS'!K65,0)</f>
        <v>0</v>
      </c>
      <c r="L29" s="17">
        <f>IFERROR('Historical FS'!L7/'Historical FS'!L65,0)</f>
        <v>0</v>
      </c>
      <c r="N29" s="17">
        <f t="shared" si="11"/>
        <v>0</v>
      </c>
      <c r="O29" s="17">
        <f t="shared" si="12"/>
        <v>0</v>
      </c>
    </row>
    <row r="30" spans="2:15">
      <c r="B30" t="s">
        <v>78</v>
      </c>
      <c r="C30" s="17">
        <f>IFERROR('Historical FS'!C7/'Historical FS'!C58,0)</f>
        <v>577.78434637801831</v>
      </c>
      <c r="D30" s="17">
        <f>IFERROR('Historical FS'!D7/'Historical FS'!D58,0)</f>
        <v>638.32397959183675</v>
      </c>
      <c r="E30" s="17">
        <f>IFERROR('Historical FS'!E7/'Historical FS'!E58,0)</f>
        <v>785.36284722222217</v>
      </c>
      <c r="F30" s="17">
        <f>IFERROR('Historical FS'!F7/'Historical FS'!F58,0)</f>
        <v>820.8272807794508</v>
      </c>
      <c r="G30" s="17">
        <f>IFERROR('Historical FS'!G7/'Historical FS'!G58,0)</f>
        <v>987.02039007092208</v>
      </c>
      <c r="H30" s="17">
        <f>IFERROR('Historical FS'!H7/'Historical FS'!H58,0)</f>
        <v>1214.5719457013574</v>
      </c>
      <c r="I30" s="17">
        <f>IFERROR('Historical FS'!I7/'Historical FS'!I58,0)</f>
        <v>347.67438271604937</v>
      </c>
      <c r="J30" s="17">
        <f>IFERROR('Historical FS'!J7/'Historical FS'!J58,0)</f>
        <v>534.75711275026345</v>
      </c>
      <c r="K30" s="17">
        <f>IFERROR('Historical FS'!K7/'Historical FS'!K58,0)</f>
        <v>1236.1693590411671</v>
      </c>
      <c r="L30" s="17">
        <f>IFERROR('Historical FS'!L7/'Historical FS'!L58,0)</f>
        <v>1208.4113378684808</v>
      </c>
      <c r="N30" s="17">
        <f t="shared" si="11"/>
        <v>835.09029821197669</v>
      </c>
      <c r="O30" s="17">
        <f t="shared" si="12"/>
        <v>803.09506400083649</v>
      </c>
    </row>
    <row r="31" spans="2:15">
      <c r="B31" s="21" t="s">
        <v>79</v>
      </c>
      <c r="C31" s="24">
        <f>IFERROR('Historical FS'!C7/SUM('Historical FS'!C52:C53),0)</f>
        <v>0.79929759572245229</v>
      </c>
      <c r="D31" s="24">
        <f>IFERROR('Historical FS'!D7/SUM('Historical FS'!D52:D53),0)</f>
        <v>0.65131991653181898</v>
      </c>
      <c r="E31" s="24">
        <f>IFERROR('Historical FS'!E7/SUM('Historical FS'!E52:E53),0)</f>
        <v>0.7533456568078869</v>
      </c>
      <c r="F31" s="24">
        <f>IFERROR('Historical FS'!F7/SUM('Historical FS'!F52:F53),0)</f>
        <v>0.66532746439184165</v>
      </c>
      <c r="G31" s="24">
        <f>IFERROR('Historical FS'!G7/SUM('Historical FS'!G52:G53),0)</f>
        <v>0.44483382044177372</v>
      </c>
      <c r="H31" s="24">
        <f>IFERROR('Historical FS'!H7/SUM('Historical FS'!H52:H53),0)</f>
        <v>0.44294160842911245</v>
      </c>
      <c r="I31" s="24">
        <f>IFERROR('Historical FS'!I7/SUM('Historical FS'!I52:I53),0)</f>
        <v>0.43912618663957931</v>
      </c>
      <c r="J31" s="24">
        <f>IFERROR('Historical FS'!J7/SUM('Historical FS'!J52:J53),0)</f>
        <v>0.49515103055541054</v>
      </c>
      <c r="K31" s="24">
        <f>IFERROR('Historical FS'!K7/SUM('Historical FS'!K52:K53),0)</f>
        <v>0.53093082191458896</v>
      </c>
      <c r="L31" s="24">
        <f>IFERROR('Historical FS'!L7/SUM('Historical FS'!L52:L53),0)</f>
        <v>0.54181058944983562</v>
      </c>
      <c r="M31" s="21"/>
      <c r="N31" s="24">
        <f t="shared" si="11"/>
        <v>0.57640846908843002</v>
      </c>
      <c r="O31" s="24">
        <f t="shared" si="12"/>
        <v>0.53637070568221223</v>
      </c>
    </row>
    <row r="33" spans="2:15">
      <c r="B33" s="18" t="s">
        <v>80</v>
      </c>
      <c r="C33" s="26">
        <f>IFERROR(365/C27,0)</f>
        <v>0</v>
      </c>
      <c r="D33" s="26">
        <f t="shared" ref="D33:L33" si="13">IFERROR(365/D27,0)</f>
        <v>0</v>
      </c>
      <c r="E33" s="26">
        <f t="shared" si="13"/>
        <v>0</v>
      </c>
      <c r="F33" s="26">
        <f t="shared" si="13"/>
        <v>0</v>
      </c>
      <c r="G33" s="26">
        <f t="shared" si="13"/>
        <v>0</v>
      </c>
      <c r="H33" s="26">
        <f t="shared" si="13"/>
        <v>0</v>
      </c>
      <c r="I33" s="26">
        <f t="shared" si="13"/>
        <v>0</v>
      </c>
      <c r="J33" s="26">
        <f t="shared" si="13"/>
        <v>3608.6206820109774</v>
      </c>
      <c r="K33" s="26">
        <f t="shared" si="13"/>
        <v>3744.4111184975691</v>
      </c>
      <c r="L33" s="26">
        <f t="shared" si="13"/>
        <v>3557.3427303027493</v>
      </c>
      <c r="M33" s="18"/>
      <c r="N33" s="26">
        <f t="shared" ref="N33:N36" si="14">IFERROR(AVERAGE(C33:L33),0)</f>
        <v>1091.0374530811296</v>
      </c>
      <c r="O33" s="26">
        <f t="shared" ref="O33:O36" si="15">IFERROR(MEDIAN(C33:L33),0)</f>
        <v>0</v>
      </c>
    </row>
    <row r="34" spans="2:15">
      <c r="B34" t="s">
        <v>81</v>
      </c>
      <c r="C34" s="27">
        <f>IFERROR(365/C28,0)</f>
        <v>404.79490401617483</v>
      </c>
      <c r="D34" s="27">
        <f t="shared" ref="D34:L34" si="16">IFERROR(365/D28,0)</f>
        <v>455.69071055285355</v>
      </c>
      <c r="E34" s="27">
        <f t="shared" si="16"/>
        <v>453.66581817056436</v>
      </c>
      <c r="F34" s="27">
        <f t="shared" si="16"/>
        <v>533.06052352721554</v>
      </c>
      <c r="G34" s="27">
        <f t="shared" si="16"/>
        <v>250.54235426309035</v>
      </c>
      <c r="H34" s="27">
        <f t="shared" si="16"/>
        <v>294.47060655598455</v>
      </c>
      <c r="I34" s="27">
        <f t="shared" si="16"/>
        <v>495.8208421921675</v>
      </c>
      <c r="J34" s="27">
        <f t="shared" si="16"/>
        <v>369.39685596308851</v>
      </c>
      <c r="K34" s="27">
        <f t="shared" si="16"/>
        <v>411.49139472955375</v>
      </c>
      <c r="L34" s="27">
        <f t="shared" si="16"/>
        <v>326.91669916124579</v>
      </c>
      <c r="N34" s="27">
        <f t="shared" si="14"/>
        <v>399.58507091319387</v>
      </c>
      <c r="O34" s="27">
        <f t="shared" si="15"/>
        <v>408.14314937286429</v>
      </c>
    </row>
    <row r="35" spans="2:15">
      <c r="B35" t="s">
        <v>82</v>
      </c>
      <c r="C35" s="27">
        <f>IFERROR(365/C29,0)</f>
        <v>0</v>
      </c>
      <c r="D35" s="27">
        <f t="shared" ref="D35:L35" si="17">IFERROR(365/D29,0)</f>
        <v>0</v>
      </c>
      <c r="E35" s="27">
        <f t="shared" si="17"/>
        <v>0</v>
      </c>
      <c r="F35" s="27">
        <f t="shared" si="17"/>
        <v>0</v>
      </c>
      <c r="G35" s="27">
        <f t="shared" si="17"/>
        <v>0</v>
      </c>
      <c r="H35" s="27">
        <f t="shared" si="17"/>
        <v>0</v>
      </c>
      <c r="I35" s="27">
        <f t="shared" si="17"/>
        <v>0</v>
      </c>
      <c r="J35" s="27">
        <f t="shared" si="17"/>
        <v>0</v>
      </c>
      <c r="K35" s="27">
        <f t="shared" si="17"/>
        <v>0</v>
      </c>
      <c r="L35" s="27">
        <f t="shared" si="17"/>
        <v>0</v>
      </c>
      <c r="N35" s="27">
        <f t="shared" si="14"/>
        <v>0</v>
      </c>
      <c r="O35" s="27">
        <f t="shared" si="15"/>
        <v>0</v>
      </c>
    </row>
    <row r="36" spans="2:15">
      <c r="B36" s="21" t="s">
        <v>83</v>
      </c>
      <c r="C36" s="28">
        <f>IFERROR(SUM(C33,C35)-C34,0)</f>
        <v>-404.79490401617483</v>
      </c>
      <c r="D36" s="28">
        <f t="shared" ref="D36:L36" si="18">IFERROR(SUM(D33,D35)-D34,0)</f>
        <v>-455.69071055285355</v>
      </c>
      <c r="E36" s="28">
        <f t="shared" si="18"/>
        <v>-453.66581817056436</v>
      </c>
      <c r="F36" s="28">
        <f t="shared" si="18"/>
        <v>-533.06052352721554</v>
      </c>
      <c r="G36" s="28">
        <f t="shared" si="18"/>
        <v>-250.54235426309035</v>
      </c>
      <c r="H36" s="28">
        <f t="shared" si="18"/>
        <v>-294.47060655598455</v>
      </c>
      <c r="I36" s="28">
        <f t="shared" si="18"/>
        <v>-495.8208421921675</v>
      </c>
      <c r="J36" s="28">
        <f t="shared" si="18"/>
        <v>3239.2238260478889</v>
      </c>
      <c r="K36" s="28">
        <f t="shared" si="18"/>
        <v>3332.9197237680155</v>
      </c>
      <c r="L36" s="28">
        <f t="shared" si="18"/>
        <v>3230.4260311415037</v>
      </c>
      <c r="M36" s="21"/>
      <c r="N36" s="28">
        <f t="shared" si="14"/>
        <v>691.45238216793564</v>
      </c>
      <c r="O36" s="28">
        <f t="shared" si="15"/>
        <v>-349.63275528607971</v>
      </c>
    </row>
    <row r="38" spans="2:15">
      <c r="B38" s="18" t="s">
        <v>84</v>
      </c>
      <c r="C38" s="19">
        <f>IFERROR('Historical FS'!C75/'Historical FS'!C7,0)</f>
        <v>0</v>
      </c>
      <c r="D38" s="19">
        <f>IFERROR('Historical FS'!D75/'Historical FS'!D7,0)</f>
        <v>-2.1817205719165171</v>
      </c>
      <c r="E38" s="19">
        <f>IFERROR('Historical FS'!E75/'Historical FS'!E7,0)</f>
        <v>-2.1503661833591607</v>
      </c>
      <c r="F38" s="19">
        <f>IFERROR('Historical FS'!F75/'Historical FS'!F7,0)</f>
        <v>-3.029642370785377</v>
      </c>
      <c r="G38" s="19">
        <f>IFERROR('Historical FS'!G75/'Historical FS'!G7,0)</f>
        <v>-3.7497509787948005</v>
      </c>
      <c r="H38" s="19">
        <f>IFERROR('Historical FS'!H75/'Historical FS'!H7,0)</f>
        <v>-4.6718215158013328</v>
      </c>
      <c r="I38" s="19">
        <f>IFERROR('Historical FS'!I75/'Historical FS'!I7,0)</f>
        <v>-5.700934846114678</v>
      </c>
      <c r="J38" s="19">
        <f>IFERROR('Historical FS'!J75/'Historical FS'!J7,0)</f>
        <v>-3.1731156321030491</v>
      </c>
      <c r="K38" s="19">
        <f>IFERROR('Historical FS'!K75/'Historical FS'!K7,0)</f>
        <v>-1.2051366468974698</v>
      </c>
      <c r="L38" s="19">
        <f>IFERROR('Historical FS'!L75/'Historical FS'!L7,0)</f>
        <v>0.29701483967068326</v>
      </c>
      <c r="M38" s="18"/>
      <c r="N38" s="19">
        <f t="shared" ref="N38:N40" si="19">IFERROR(AVERAGE(C38:L38),0)</f>
        <v>-2.5565473906101697</v>
      </c>
      <c r="O38" s="19">
        <f t="shared" ref="O38:O40" si="20">IFERROR(MEDIAN(C38:L38),0)</f>
        <v>-2.6056814713509473</v>
      </c>
    </row>
    <row r="39" spans="2:15">
      <c r="B39" t="s">
        <v>85</v>
      </c>
      <c r="C39" s="20">
        <f>IFERROR('Historical FS'!C75/'Historical FS'!C69,0)</f>
        <v>0</v>
      </c>
      <c r="D39" s="20">
        <f>IFERROR('Historical FS'!D75/'Historical FS'!D69,0)</f>
        <v>-0.15108340477372822</v>
      </c>
      <c r="E39" s="20">
        <f>IFERROR('Historical FS'!E75/'Historical FS'!E69,0)</f>
        <v>-0.150059664651569</v>
      </c>
      <c r="F39" s="20">
        <f>IFERROR('Historical FS'!F75/'Historical FS'!F69,0)</f>
        <v>-0.17388005275585947</v>
      </c>
      <c r="G39" s="20">
        <f>IFERROR('Historical FS'!G75/'Historical FS'!G69,0)</f>
        <v>-0.20206902483456124</v>
      </c>
      <c r="H39" s="20">
        <f>IFERROR('Historical FS'!H75/'Historical FS'!H69,0)</f>
        <v>-0.22758500934269116</v>
      </c>
      <c r="I39" s="20">
        <f>IFERROR('Historical FS'!I75/'Historical FS'!I69,0)</f>
        <v>-0.23629702173183073</v>
      </c>
      <c r="J39" s="20">
        <f>IFERROR('Historical FS'!J75/'Historical FS'!J69,0)</f>
        <v>-0.14314469200446189</v>
      </c>
      <c r="K39" s="20">
        <f>IFERROR('Historical FS'!K75/'Historical FS'!K69,0)</f>
        <v>-5.8300907243931104E-2</v>
      </c>
      <c r="L39" s="20">
        <f>IFERROR('Historical FS'!L75/'Historical FS'!L69,0)</f>
        <v>1.6314959088499659E-2</v>
      </c>
      <c r="N39" s="20">
        <f t="shared" si="19"/>
        <v>-0.13261048182501331</v>
      </c>
      <c r="O39" s="20">
        <f t="shared" si="20"/>
        <v>-0.15057153471264861</v>
      </c>
    </row>
    <row r="40" spans="2:15">
      <c r="B40" s="21" t="s">
        <v>86</v>
      </c>
      <c r="C40" s="22">
        <f>IFERROR('Historical FS'!C75/'Historical FS'!C54,0)</f>
        <v>0</v>
      </c>
      <c r="D40" s="22">
        <f>IFERROR('Historical FS'!D75/'Historical FS'!D54,0)</f>
        <v>-0.18716462647414644</v>
      </c>
      <c r="E40" s="22">
        <f>IFERROR('Historical FS'!E75/'Historical FS'!E54,0)</f>
        <v>-0.18285826965701163</v>
      </c>
      <c r="F40" s="22">
        <f>IFERROR('Historical FS'!F75/'Historical FS'!F54,0)</f>
        <v>-0.2095146371944501</v>
      </c>
      <c r="G40" s="22">
        <f>IFERROR('Historical FS'!G75/'Historical FS'!G54,0)</f>
        <v>-0.24002500507811442</v>
      </c>
      <c r="H40" s="22">
        <f>IFERROR('Historical FS'!H75/'Historical FS'!H54,0)</f>
        <v>-0.26752063942186749</v>
      </c>
      <c r="I40" s="22">
        <f>IFERROR('Historical FS'!I75/'Historical FS'!I54,0)</f>
        <v>-0.27822363849619824</v>
      </c>
      <c r="J40" s="22">
        <f>IFERROR('Historical FS'!J75/'Historical FS'!J54,0)</f>
        <v>-0.16582299705151352</v>
      </c>
      <c r="K40" s="22">
        <f>IFERROR('Historical FS'!K75/'Historical FS'!K54,0)</f>
        <v>-6.8240578667473156E-2</v>
      </c>
      <c r="L40" s="22">
        <f>IFERROR('Historical FS'!L75/'Historical FS'!L54,0)</f>
        <v>1.9207184803983861E-2</v>
      </c>
      <c r="M40" s="21"/>
      <c r="N40" s="22">
        <f t="shared" si="19"/>
        <v>-0.1580163207236791</v>
      </c>
      <c r="O40" s="22">
        <f t="shared" si="20"/>
        <v>-0.18501144806557904</v>
      </c>
    </row>
  </sheetData>
  <mergeCells count="1">
    <mergeCell ref="B2:O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34B8D00C-B832-4BE2-B387-D48E4CC911BF}">
          <x14:colorSeries rgb="FF002060"/>
          <x14:colorNegative theme="1" tint="0.249977111117893"/>
          <x14:colorAxis rgb="FF000000"/>
          <x14:colorMarkers theme="1"/>
          <x14:colorFirst theme="1" tint="0.249977111117893"/>
          <x14:colorLast theme="1" tint="0.249977111117893"/>
          <x14:colorHigh theme="1" tint="0.249977111117893"/>
          <x14:colorLow theme="1" tint="0.249977111117893"/>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displayEmptyCellsAs="gap" markers="1" xr2:uid="{E8D13A2B-54D8-4DDE-9C91-173D11DDAB53}">
          <x14:colorSeries rgb="FF002060"/>
          <x14:colorNegative theme="1" tint="0.249977111117893"/>
          <x14:colorAxis rgb="FF000000"/>
          <x14:colorMarkers theme="1"/>
          <x14:colorFirst theme="1" tint="0.249977111117893"/>
          <x14:colorLast theme="1" tint="0.249977111117893"/>
          <x14:colorHigh theme="1" tint="0.249977111117893"/>
          <x14:colorLow theme="1" tint="0.249977111117893"/>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9C8E-82F3-4B23-9A53-53D17E49CB36}">
  <dimension ref="B2:O39"/>
  <sheetViews>
    <sheetView showGridLines="0" workbookViewId="0">
      <selection activeCell="H28" sqref="H28"/>
    </sheetView>
  </sheetViews>
  <sheetFormatPr defaultRowHeight="15"/>
  <cols>
    <col min="1" max="1" width="1.85546875" customWidth="1"/>
    <col min="2" max="2" width="22" bestFit="1" customWidth="1"/>
    <col min="3" max="11" width="9.7109375" bestFit="1" customWidth="1"/>
  </cols>
  <sheetData>
    <row r="2" spans="2:15" ht="18.75">
      <c r="B2" s="54" t="str">
        <f>"Common-Size Income Statement"&amp;" - "&amp;'Data Sheet'!$B$1</f>
        <v>Common-Size Income Statement - INDIAN RAILWAY FINANCE CORPORATION LTD</v>
      </c>
      <c r="C2" s="54"/>
      <c r="D2" s="54"/>
      <c r="E2" s="54"/>
      <c r="F2" s="54"/>
      <c r="G2" s="54"/>
      <c r="H2" s="54"/>
      <c r="I2" s="54"/>
      <c r="J2" s="54"/>
      <c r="K2" s="54"/>
    </row>
    <row r="4" spans="2:15">
      <c r="B4" s="31" t="s">
        <v>87</v>
      </c>
      <c r="C4" s="47">
        <f>'Data Sheet'!C$16</f>
        <v>42460</v>
      </c>
      <c r="D4" s="47">
        <f>'Data Sheet'!D$16</f>
        <v>42825</v>
      </c>
      <c r="E4" s="47">
        <f>'Data Sheet'!E$16</f>
        <v>43190</v>
      </c>
      <c r="F4" s="47">
        <f>'Data Sheet'!F$16</f>
        <v>43555</v>
      </c>
      <c r="G4" s="47">
        <f>'Data Sheet'!G$16</f>
        <v>43921</v>
      </c>
      <c r="H4" s="47">
        <f>'Data Sheet'!H$16</f>
        <v>44286</v>
      </c>
      <c r="I4" s="47">
        <f>'Data Sheet'!I$16</f>
        <v>44651</v>
      </c>
      <c r="J4" s="47">
        <f>'Data Sheet'!J$16</f>
        <v>45016</v>
      </c>
      <c r="K4" s="47">
        <f>'Data Sheet'!K$16</f>
        <v>45382</v>
      </c>
    </row>
    <row r="5" spans="2:15">
      <c r="B5" s="48"/>
      <c r="C5" s="48"/>
      <c r="D5" s="48"/>
      <c r="E5" s="48"/>
      <c r="F5" s="48"/>
      <c r="G5" s="48"/>
      <c r="H5" s="48"/>
      <c r="I5" s="48"/>
      <c r="J5" s="48"/>
      <c r="K5" s="48"/>
    </row>
    <row r="6" spans="2:15">
      <c r="B6" s="50" t="str">
        <f>'Data Sheet'!A17</f>
        <v>Sales</v>
      </c>
      <c r="C6" s="51">
        <f>'Data Sheet'!C17/'Data Sheet'!C$17</f>
        <v>1</v>
      </c>
      <c r="D6" s="51">
        <f>'Data Sheet'!D17/'Data Sheet'!D$17</f>
        <v>1</v>
      </c>
      <c r="E6" s="51">
        <f>'Data Sheet'!E17/'Data Sheet'!E$17</f>
        <v>1</v>
      </c>
      <c r="F6" s="51">
        <f>'Data Sheet'!F17/'Data Sheet'!F$17</f>
        <v>1</v>
      </c>
      <c r="G6" s="51">
        <f>'Data Sheet'!G17/'Data Sheet'!G$17</f>
        <v>1</v>
      </c>
      <c r="H6" s="51">
        <f>'Data Sheet'!H17/'Data Sheet'!H$17</f>
        <v>1</v>
      </c>
      <c r="I6" s="51">
        <f>'Data Sheet'!I17/'Data Sheet'!I$17</f>
        <v>1</v>
      </c>
      <c r="J6" s="51">
        <f>'Data Sheet'!J17/'Data Sheet'!J$17</f>
        <v>1</v>
      </c>
      <c r="K6" s="51">
        <f>'Data Sheet'!K17/'Data Sheet'!K$17</f>
        <v>1</v>
      </c>
    </row>
    <row r="7" spans="2:15">
      <c r="B7" s="49" t="str">
        <f>'Data Sheet'!A18</f>
        <v>Raw Material Cost</v>
      </c>
      <c r="C7" s="16">
        <f>'Data Sheet'!C18/'Data Sheet'!C$17</f>
        <v>0</v>
      </c>
      <c r="D7" s="16">
        <f>'Data Sheet'!D18/'Data Sheet'!D$17</f>
        <v>0</v>
      </c>
      <c r="E7" s="16">
        <f>'Data Sheet'!E18/'Data Sheet'!E$17</f>
        <v>0</v>
      </c>
      <c r="F7" s="16">
        <f>'Data Sheet'!F18/'Data Sheet'!F$17</f>
        <v>0</v>
      </c>
      <c r="G7" s="16">
        <f>'Data Sheet'!G18/'Data Sheet'!G$17</f>
        <v>0</v>
      </c>
      <c r="H7" s="16">
        <f>'Data Sheet'!H18/'Data Sheet'!H$17</f>
        <v>0</v>
      </c>
      <c r="I7" s="16">
        <f>'Data Sheet'!I18/'Data Sheet'!I$17</f>
        <v>0</v>
      </c>
      <c r="J7" s="16">
        <f>'Data Sheet'!J18/'Data Sheet'!J$17</f>
        <v>0</v>
      </c>
      <c r="K7" s="16">
        <f>'Data Sheet'!K18/'Data Sheet'!K$17</f>
        <v>0</v>
      </c>
    </row>
    <row r="8" spans="2:15">
      <c r="B8" s="49" t="str">
        <f>'Data Sheet'!A19</f>
        <v>Change in Inventory</v>
      </c>
      <c r="C8" s="16">
        <f>'Data Sheet'!C19/'Data Sheet'!C$17</f>
        <v>0</v>
      </c>
      <c r="D8" s="16">
        <f>'Data Sheet'!D19/'Data Sheet'!D$17</f>
        <v>0</v>
      </c>
      <c r="E8" s="16">
        <f>'Data Sheet'!E19/'Data Sheet'!E$17</f>
        <v>0</v>
      </c>
      <c r="F8" s="16">
        <f>'Data Sheet'!F19/'Data Sheet'!F$17</f>
        <v>0</v>
      </c>
      <c r="G8" s="16">
        <f>'Data Sheet'!G19/'Data Sheet'!G$17</f>
        <v>0</v>
      </c>
      <c r="H8" s="16">
        <f>'Data Sheet'!H19/'Data Sheet'!H$17</f>
        <v>0</v>
      </c>
      <c r="I8" s="16">
        <f>'Data Sheet'!I19/'Data Sheet'!I$17</f>
        <v>0</v>
      </c>
      <c r="J8" s="16">
        <f>'Data Sheet'!J19/'Data Sheet'!J$17</f>
        <v>0</v>
      </c>
      <c r="K8" s="16">
        <f>'Data Sheet'!K19/'Data Sheet'!K$17</f>
        <v>0</v>
      </c>
    </row>
    <row r="9" spans="2:15">
      <c r="B9" s="49" t="str">
        <f>'Data Sheet'!A20</f>
        <v>Power and Fuel</v>
      </c>
      <c r="C9" s="16">
        <f>'Data Sheet'!C20/'Data Sheet'!C$17</f>
        <v>2.6642901198797343E-5</v>
      </c>
      <c r="D9" s="16">
        <f>'Data Sheet'!D20/'Data Sheet'!D$17</f>
        <v>2.4316431939412296E-5</v>
      </c>
      <c r="E9" s="16">
        <f>'Data Sheet'!E20/'Data Sheet'!E$17</f>
        <v>2.5897957730216659E-5</v>
      </c>
      <c r="F9" s="16">
        <f>'Data Sheet'!F20/'Data Sheet'!F$17</f>
        <v>1.9760023496464303E-5</v>
      </c>
      <c r="G9" s="16">
        <f>'Data Sheet'!G20/'Data Sheet'!G$17</f>
        <v>1.9372596121606258E-5</v>
      </c>
      <c r="H9" s="16">
        <f>'Data Sheet'!H20/'Data Sheet'!H$17</f>
        <v>1.5218277658744072E-5</v>
      </c>
      <c r="I9" s="16">
        <f>'Data Sheet'!I20/'Data Sheet'!I$17</f>
        <v>1.0345143546256092E-5</v>
      </c>
      <c r="J9" s="16">
        <f>'Data Sheet'!J20/'Data Sheet'!J$17</f>
        <v>9.6956043923617193E-6</v>
      </c>
      <c r="K9" s="16">
        <f>'Data Sheet'!K20/'Data Sheet'!K$17</f>
        <v>9.3824578812083256E-6</v>
      </c>
    </row>
    <row r="10" spans="2:15">
      <c r="B10" s="49" t="str">
        <f>'Data Sheet'!A21</f>
        <v>Other Mfr. Exp</v>
      </c>
      <c r="C10" s="16">
        <f>'Data Sheet'!C21/'Data Sheet'!C$17</f>
        <v>0</v>
      </c>
      <c r="D10" s="16">
        <f>'Data Sheet'!D21/'Data Sheet'!D$17</f>
        <v>0</v>
      </c>
      <c r="E10" s="16">
        <f>'Data Sheet'!E21/'Data Sheet'!E$17</f>
        <v>0</v>
      </c>
      <c r="F10" s="16">
        <f>'Data Sheet'!F21/'Data Sheet'!F$17</f>
        <v>0</v>
      </c>
      <c r="G10" s="16">
        <f>'Data Sheet'!G21/'Data Sheet'!G$17</f>
        <v>1.5498076897285006E-4</v>
      </c>
      <c r="H10" s="16">
        <f>'Data Sheet'!H21/'Data Sheet'!H$17</f>
        <v>1.6613286444128948E-4</v>
      </c>
      <c r="I10" s="16">
        <f>'Data Sheet'!I21/'Data Sheet'!I$17</f>
        <v>1.9458722384624555E-4</v>
      </c>
      <c r="J10" s="16">
        <f>'Data Sheet'!J21/'Data Sheet'!J$17</f>
        <v>1.6524682268720842E-4</v>
      </c>
      <c r="K10" s="16">
        <f>'Data Sheet'!K21/'Data Sheet'!K$17</f>
        <v>1.4899343115358822E-4</v>
      </c>
      <c r="O10" t="s">
        <v>2</v>
      </c>
    </row>
    <row r="11" spans="2:15">
      <c r="B11" s="49" t="str">
        <f>'Data Sheet'!A22</f>
        <v>Employee Cost</v>
      </c>
      <c r="C11" s="16">
        <f>'Data Sheet'!C22/'Data Sheet'!C$17</f>
        <v>5.4484732951540563E-4</v>
      </c>
      <c r="D11" s="16">
        <f>'Data Sheet'!D22/'Data Sheet'!D$17</f>
        <v>3.3158770826471315E-4</v>
      </c>
      <c r="E11" s="16">
        <f>'Data Sheet'!E22/'Data Sheet'!E$17</f>
        <v>5.9673210936707561E-4</v>
      </c>
      <c r="F11" s="16">
        <f>'Data Sheet'!F22/'Data Sheet'!F$17</f>
        <v>5.8112432737329105E-4</v>
      </c>
      <c r="G11" s="16">
        <f>'Data Sheet'!G22/'Data Sheet'!G$17</f>
        <v>4.8431490304015639E-4</v>
      </c>
      <c r="H11" s="16">
        <f>'Data Sheet'!H22/'Data Sheet'!H$17</f>
        <v>5.0791001686058344E-4</v>
      </c>
      <c r="I11" s="16">
        <f>'Data Sheet'!I22/'Data Sheet'!I$17</f>
        <v>5.4779998206841776E-4</v>
      </c>
      <c r="J11" s="16">
        <f>'Data Sheet'!J22/'Data Sheet'!J$17</f>
        <v>5.5855112260344683E-4</v>
      </c>
      <c r="K11" s="16">
        <f>'Data Sheet'!K22/'Data Sheet'!K$17</f>
        <v>4.2558828949160963E-4</v>
      </c>
    </row>
    <row r="12" spans="2:15">
      <c r="B12" s="49" t="str">
        <f>'Data Sheet'!A23</f>
        <v>Selling and admin</v>
      </c>
      <c r="C12" s="16">
        <f>'Data Sheet'!C23/'Data Sheet'!C$17</f>
        <v>4.41339658358078E-3</v>
      </c>
      <c r="D12" s="16">
        <f>'Data Sheet'!D23/'Data Sheet'!D$17</f>
        <v>2.4294326092194648E-3</v>
      </c>
      <c r="E12" s="16">
        <f>'Data Sheet'!E23/'Data Sheet'!E$17</f>
        <v>7.4888261103209848E-4</v>
      </c>
      <c r="F12" s="16">
        <f>'Data Sheet'!F23/'Data Sheet'!F$17</f>
        <v>4.2034959074296787E-4</v>
      </c>
      <c r="G12" s="16">
        <f>'Data Sheet'!G23/'Data Sheet'!G$17</f>
        <v>3.0400073913905201E-4</v>
      </c>
      <c r="H12" s="16">
        <f>'Data Sheet'!H23/'Data Sheet'!H$17</f>
        <v>3.1958383083362555E-4</v>
      </c>
      <c r="I12" s="16">
        <f>'Data Sheet'!I23/'Data Sheet'!I$17</f>
        <v>3.3843398172752075E-4</v>
      </c>
      <c r="J12" s="16">
        <f>'Data Sheet'!J23/'Data Sheet'!J$17</f>
        <v>3.4271853786913383E-4</v>
      </c>
      <c r="K12" s="16">
        <f>'Data Sheet'!K23/'Data Sheet'!K$17</f>
        <v>2.6983948866355143E-4</v>
      </c>
    </row>
    <row r="13" spans="2:15">
      <c r="B13" s="49" t="str">
        <f>'Data Sheet'!A24</f>
        <v>Other Expenses</v>
      </c>
      <c r="C13" s="16">
        <f>'Data Sheet'!C24/'Data Sheet'!C$17</f>
        <v>1.0390731467530963E-4</v>
      </c>
      <c r="D13" s="16">
        <f>'Data Sheet'!D24/'Data Sheet'!D$17</f>
        <v>7.6265172900884015E-5</v>
      </c>
      <c r="E13" s="16">
        <f>'Data Sheet'!E24/'Data Sheet'!E$17</f>
        <v>2.7225228063890265E-3</v>
      </c>
      <c r="F13" s="16">
        <f>'Data Sheet'!F24/'Data Sheet'!F$17</f>
        <v>3.3322585078128441E-3</v>
      </c>
      <c r="G13" s="16">
        <f>'Data Sheet'!G24/'Data Sheet'!G$17</f>
        <v>3.9423233107468729E-3</v>
      </c>
      <c r="H13" s="16">
        <f>'Data Sheet'!H24/'Data Sheet'!H$17</f>
        <v>6.1710115906207213E-3</v>
      </c>
      <c r="I13" s="16">
        <f>'Data Sheet'!I24/'Data Sheet'!I$17</f>
        <v>4.9503974998251175E-3</v>
      </c>
      <c r="J13" s="16">
        <f>'Data Sheet'!J24/'Data Sheet'!J$17</f>
        <v>4.586020877587093E-3</v>
      </c>
      <c r="K13" s="16">
        <f>'Data Sheet'!K24/'Data Sheet'!K$17</f>
        <v>4.1324097491993944E-3</v>
      </c>
    </row>
    <row r="14" spans="2:15">
      <c r="B14" s="49" t="str">
        <f>'Data Sheet'!A25</f>
        <v>Other Income</v>
      </c>
      <c r="C14" s="16">
        <f>'Data Sheet'!C25/'Data Sheet'!C$17</f>
        <v>8.1260848656331886E-5</v>
      </c>
      <c r="D14" s="16">
        <f>'Data Sheet'!D25/'Data Sheet'!D$17</f>
        <v>2.8737601382941807E-5</v>
      </c>
      <c r="E14" s="16">
        <f>'Data Sheet'!E25/'Data Sheet'!E$17</f>
        <v>1.3272703336736038E-4</v>
      </c>
      <c r="F14" s="16">
        <f>'Data Sheet'!F25/'Data Sheet'!F$17</f>
        <v>-1.7963657724058457E-6</v>
      </c>
      <c r="G14" s="16">
        <f>'Data Sheet'!G25/'Data Sheet'!G$17</f>
        <v>4.4705991049860592E-6</v>
      </c>
      <c r="H14" s="16">
        <f>'Data Sheet'!H25/'Data Sheet'!H$17</f>
        <v>2.0925131780773103E-5</v>
      </c>
      <c r="I14" s="16">
        <f>'Data Sheet'!I25/'Data Sheet'!I$17</f>
        <v>1.0936294606042156E-4</v>
      </c>
      <c r="J14" s="16">
        <f>'Data Sheet'!J25/'Data Sheet'!J$17</f>
        <v>1.714014237362728E-3</v>
      </c>
      <c r="K14" s="16">
        <f>'Data Sheet'!K25/'Data Sheet'!K$17</f>
        <v>3.9068554617351466E-4</v>
      </c>
    </row>
    <row r="15" spans="2:15">
      <c r="B15" s="49" t="str">
        <f>'Data Sheet'!A26</f>
        <v>Depreciation</v>
      </c>
      <c r="C15" s="16">
        <f>'Data Sheet'!C26/'Data Sheet'!C$17</f>
        <v>4.6625077097895344E-5</v>
      </c>
      <c r="D15" s="16">
        <f>'Data Sheet'!D26/'Data Sheet'!D$17</f>
        <v>3.8685232630883198E-5</v>
      </c>
      <c r="E15" s="16">
        <f>'Data Sheet'!E26/'Data Sheet'!E$17</f>
        <v>3.7767855023232628E-5</v>
      </c>
      <c r="F15" s="16">
        <f>'Data Sheet'!F26/'Data Sheet'!F$17</f>
        <v>3.7723681220522758E-5</v>
      </c>
      <c r="G15" s="16">
        <f>'Data Sheet'!G26/'Data Sheet'!G$17</f>
        <v>3.4274593138226452E-5</v>
      </c>
      <c r="H15" s="16">
        <f>'Data Sheet'!H26/'Data Sheet'!H$17</f>
        <v>2.8090404178431766E-4</v>
      </c>
      <c r="I15" s="16">
        <f>'Data Sheet'!I26/'Data Sheet'!I$17</f>
        <v>6.9115411406653793E-4</v>
      </c>
      <c r="J15" s="16">
        <f>'Data Sheet'!J26/'Data Sheet'!J$17</f>
        <v>5.9269651198524248E-4</v>
      </c>
      <c r="K15" s="16">
        <f>'Data Sheet'!K26/'Data Sheet'!K$17</f>
        <v>3.5428160959442633E-4</v>
      </c>
    </row>
    <row r="16" spans="2:15">
      <c r="B16" s="49" t="str">
        <f>'Data Sheet'!A27</f>
        <v>Interest</v>
      </c>
      <c r="C16" s="16">
        <f>'Data Sheet'!C27/'Data Sheet'!C$17</f>
        <v>0.73518954425985361</v>
      </c>
      <c r="D16" s="16">
        <f>'Data Sheet'!D27/'Data Sheet'!D$17</f>
        <v>0.76133974697647278</v>
      </c>
      <c r="E16" s="16">
        <f>'Data Sheet'!E27/'Data Sheet'!E$17</f>
        <v>0.71625010521045329</v>
      </c>
      <c r="F16" s="16">
        <f>'Data Sheet'!F27/'Data Sheet'!F$17</f>
        <v>0.73499203760871379</v>
      </c>
      <c r="G16" s="16">
        <f>'Data Sheet'!G27/'Data Sheet'!G$17</f>
        <v>0.7572226254040304</v>
      </c>
      <c r="H16" s="16">
        <f>'Data Sheet'!H27/'Data Sheet'!H$17</f>
        <v>0.71253561235495866</v>
      </c>
      <c r="I16" s="16">
        <f>'Data Sheet'!I27/'Data Sheet'!I$17</f>
        <v>0.69336009277130628</v>
      </c>
      <c r="J16" s="16">
        <f>'Data Sheet'!J27/'Data Sheet'!J$17</f>
        <v>0.73548367787155344</v>
      </c>
      <c r="K16" s="16">
        <f>'Data Sheet'!K27/'Data Sheet'!K$17</f>
        <v>0.7544047825014909</v>
      </c>
    </row>
    <row r="17" spans="2:11">
      <c r="B17" s="49" t="str">
        <f>'Data Sheet'!A28</f>
        <v>Profit before tax</v>
      </c>
      <c r="C17" s="16">
        <f>'Data Sheet'!C28/'Data Sheet'!C$17</f>
        <v>0.25975629738273465</v>
      </c>
      <c r="D17" s="16">
        <f>'Data Sheet'!D28/'Data Sheet'!D$17</f>
        <v>0.23578870346995487</v>
      </c>
      <c r="E17" s="16">
        <f>'Data Sheet'!E28/'Data Sheet'!E$17</f>
        <v>0.27975081848337241</v>
      </c>
      <c r="F17" s="16">
        <f>'Data Sheet'!F28/'Data Sheet'!F$17</f>
        <v>0.26061494989486766</v>
      </c>
      <c r="G17" s="16">
        <f>'Data Sheet'!G28/'Data Sheet'!G$17</f>
        <v>0.23784257828391583</v>
      </c>
      <c r="H17" s="16">
        <f>'Data Sheet'!H28/'Data Sheet'!H$17</f>
        <v>0.2800245521546228</v>
      </c>
      <c r="I17" s="16">
        <f>'Data Sheet'!I28/'Data Sheet'!I$17</f>
        <v>0.30001655222967399</v>
      </c>
      <c r="J17" s="16">
        <f>'Data Sheet'!J28/'Data Sheet'!J$17</f>
        <v>0.25997540688868476</v>
      </c>
      <c r="K17" s="16">
        <f>'Data Sheet'!K28/'Data Sheet'!K$17</f>
        <v>0.24064540801869885</v>
      </c>
    </row>
    <row r="18" spans="2:11">
      <c r="B18" s="49" t="str">
        <f>'Data Sheet'!A29</f>
        <v>Tax</v>
      </c>
      <c r="C18" s="16">
        <f>'Data Sheet'!C29/'Data Sheet'!C$17</f>
        <v>0.14669847829069804</v>
      </c>
      <c r="D18" s="16">
        <f>'Data Sheet'!D29/'Data Sheet'!D$17</f>
        <v>0.13257539751839761</v>
      </c>
      <c r="E18" s="16">
        <f>'Data Sheet'!E29/'Data Sheet'!E$17</f>
        <v>5.8036244191843445E-2</v>
      </c>
      <c r="F18" s="16">
        <f>'Data Sheet'!F29/'Data Sheet'!F$17</f>
        <v>5.8098061811149862E-2</v>
      </c>
      <c r="G18" s="16">
        <f>'Data Sheet'!G29/'Data Sheet'!G$17</f>
        <v>0</v>
      </c>
      <c r="H18" s="16">
        <f>'Data Sheet'!H29/'Data Sheet'!H$17</f>
        <v>0</v>
      </c>
      <c r="I18" s="16">
        <f>'Data Sheet'!I29/'Data Sheet'!I$17</f>
        <v>1.5764028260961666E-5</v>
      </c>
      <c r="J18" s="16">
        <f>'Data Sheet'!J29/'Data Sheet'!J$17</f>
        <v>0</v>
      </c>
      <c r="K18" s="16">
        <f>'Data Sheet'!K29/'Data Sheet'!K$17</f>
        <v>0</v>
      </c>
    </row>
    <row r="19" spans="2:11">
      <c r="B19" s="49" t="str">
        <f>'Data Sheet'!A30</f>
        <v>Net profit</v>
      </c>
      <c r="C19" s="16">
        <f>'Data Sheet'!C30/'Data Sheet'!C$17</f>
        <v>0.11305781909203658</v>
      </c>
      <c r="D19" s="16">
        <f>'Data Sheet'!D30/'Data Sheet'!D$17</f>
        <v>0.10321330595155725</v>
      </c>
      <c r="E19" s="16">
        <f>'Data Sheet'!E30/'Data Sheet'!E$17</f>
        <v>0.22171457429152899</v>
      </c>
      <c r="F19" s="16">
        <f>'Data Sheet'!F30/'Data Sheet'!F$17</f>
        <v>0.20251778626660402</v>
      </c>
      <c r="G19" s="16">
        <f>'Data Sheet'!G30/'Data Sheet'!G$17</f>
        <v>0.23784332338376665</v>
      </c>
      <c r="H19" s="16">
        <f>'Data Sheet'!H30/'Data Sheet'!H$17</f>
        <v>0.2800245521546228</v>
      </c>
      <c r="I19" s="16">
        <f>'Data Sheet'!I30/'Data Sheet'!I$17</f>
        <v>0.30000128082729621</v>
      </c>
      <c r="J19" s="16">
        <f>'Data Sheet'!J30/'Data Sheet'!J$17</f>
        <v>0.25997540688868476</v>
      </c>
      <c r="K19" s="16">
        <f>'Data Sheet'!K30/'Data Sheet'!K$17</f>
        <v>0.24064503272038362</v>
      </c>
    </row>
    <row r="20" spans="2:11">
      <c r="B20" s="49" t="str">
        <f>'Data Sheet'!A31</f>
        <v>Dividend Amount</v>
      </c>
      <c r="C20" s="16">
        <f>'Data Sheet'!C31/'Data Sheet'!C$17</f>
        <v>4.5223660494838606E-2</v>
      </c>
      <c r="D20" s="16">
        <f>'Data Sheet'!D31/'Data Sheet'!D$17</f>
        <v>4.1261669124100023E-2</v>
      </c>
      <c r="E20" s="16">
        <f>'Data Sheet'!E31/'Data Sheet'!E$17</f>
        <v>4.0494694155910026E-2</v>
      </c>
      <c r="F20" s="16">
        <f>'Data Sheet'!F31/'Data Sheet'!F$17</f>
        <v>3.5892286315555001E-2</v>
      </c>
      <c r="G20" s="16">
        <f>'Data Sheet'!G31/'Data Sheet'!G$17</f>
        <v>0</v>
      </c>
      <c r="H20" s="16">
        <f>'Data Sheet'!H31/'Data Sheet'!H$17</f>
        <v>8.7009868418966796E-2</v>
      </c>
      <c r="I20" s="16">
        <f>'Data Sheet'!I31/'Data Sheet'!I$17</f>
        <v>9.0130338956165151E-2</v>
      </c>
      <c r="J20" s="16">
        <f>'Data Sheet'!J31/'Data Sheet'!J$17</f>
        <v>8.2635214688081868E-2</v>
      </c>
      <c r="K20" s="16">
        <f>'Data Sheet'!K31/'Data Sheet'!K$17</f>
        <v>7.3568978141500221E-2</v>
      </c>
    </row>
    <row r="21" spans="2:11">
      <c r="B21" s="49"/>
      <c r="D21" t="s">
        <v>2</v>
      </c>
    </row>
    <row r="22" spans="2:11" ht="18.75">
      <c r="B22" s="54" t="str">
        <f>"Common-Size Balance Sheet"&amp;" - "&amp;'Data Sheet'!$B$1</f>
        <v>Common-Size Balance Sheet - INDIAN RAILWAY FINANCE CORPORATION LTD</v>
      </c>
      <c r="C22" s="54"/>
      <c r="D22" s="54"/>
      <c r="E22" s="54"/>
      <c r="F22" s="54"/>
      <c r="G22" s="54"/>
      <c r="H22" s="54"/>
      <c r="I22" s="54"/>
      <c r="J22" s="54"/>
      <c r="K22" s="54"/>
    </row>
    <row r="24" spans="2:11">
      <c r="B24" s="31" t="s">
        <v>87</v>
      </c>
      <c r="C24" s="47">
        <f>C4</f>
        <v>42460</v>
      </c>
      <c r="D24" s="47">
        <f t="shared" ref="D24:K24" si="0">D4</f>
        <v>42825</v>
      </c>
      <c r="E24" s="47">
        <f t="shared" si="0"/>
        <v>43190</v>
      </c>
      <c r="F24" s="47">
        <f t="shared" si="0"/>
        <v>43555</v>
      </c>
      <c r="G24" s="47">
        <f t="shared" si="0"/>
        <v>43921</v>
      </c>
      <c r="H24" s="47">
        <f t="shared" si="0"/>
        <v>44286</v>
      </c>
      <c r="I24" s="47">
        <f t="shared" si="0"/>
        <v>44651</v>
      </c>
      <c r="J24" s="47">
        <f t="shared" si="0"/>
        <v>45016</v>
      </c>
      <c r="K24" s="47">
        <f t="shared" si="0"/>
        <v>45382</v>
      </c>
    </row>
    <row r="25" spans="2:11">
      <c r="B25" s="52"/>
      <c r="C25" s="52"/>
      <c r="D25" s="52"/>
      <c r="E25" s="52"/>
      <c r="F25" s="52"/>
      <c r="G25" s="52"/>
      <c r="H25" s="52"/>
      <c r="I25" s="52"/>
      <c r="J25" s="52"/>
      <c r="K25" s="52"/>
    </row>
    <row r="26" spans="2:11">
      <c r="B26" s="31" t="s">
        <v>38</v>
      </c>
      <c r="C26" s="16">
        <f>'Data Sheet'!C61/'Data Sheet'!C$61</f>
        <v>1</v>
      </c>
      <c r="D26" s="16">
        <f>'Data Sheet'!D61/'Data Sheet'!D$61</f>
        <v>1</v>
      </c>
      <c r="E26" s="16">
        <f>'Data Sheet'!E61/'Data Sheet'!E$61</f>
        <v>1</v>
      </c>
      <c r="F26" s="16">
        <f>'Data Sheet'!F61/'Data Sheet'!F$61</f>
        <v>1</v>
      </c>
      <c r="G26" s="16">
        <f>'Data Sheet'!G61/'Data Sheet'!G$61</f>
        <v>1</v>
      </c>
      <c r="H26" s="16">
        <f>'Data Sheet'!H61/'Data Sheet'!H$61</f>
        <v>1</v>
      </c>
      <c r="I26" s="16">
        <f>'Data Sheet'!I61/'Data Sheet'!I$61</f>
        <v>1</v>
      </c>
      <c r="J26" s="16">
        <f>'Data Sheet'!J61/'Data Sheet'!J$61</f>
        <v>1</v>
      </c>
      <c r="K26" s="16">
        <f>'Data Sheet'!K61/'Data Sheet'!K$61</f>
        <v>1</v>
      </c>
    </row>
    <row r="27" spans="2:11">
      <c r="B27" s="49" t="str">
        <f>'Data Sheet'!A57</f>
        <v>Equity Share Capital</v>
      </c>
      <c r="C27" s="16">
        <f>'Data Sheet'!C57/'Data Sheet'!C$61</f>
        <v>4.17568608378623E-2</v>
      </c>
      <c r="D27" s="16">
        <f>'Data Sheet'!D57/'Data Sheet'!D$61</f>
        <v>5.0339210378001077E-2</v>
      </c>
      <c r="E27" s="16">
        <f>'Data Sheet'!E57/'Data Sheet'!E$61</f>
        <v>4.0419445746385417E-2</v>
      </c>
      <c r="F27" s="16">
        <f>'Data Sheet'!F57/'Data Sheet'!F$61</f>
        <v>4.540317567539115E-2</v>
      </c>
      <c r="G27" s="16">
        <f>'Data Sheet'!G57/'Data Sheet'!G$61</f>
        <v>4.3122620339666046E-2</v>
      </c>
      <c r="H27" s="16">
        <f>'Data Sheet'!H57/'Data Sheet'!H$61</f>
        <v>3.4347292346813586E-2</v>
      </c>
      <c r="I27" s="16">
        <f>'Data Sheet'!I57/'Data Sheet'!I$61</f>
        <v>2.9042409908595541E-2</v>
      </c>
      <c r="J27" s="16">
        <f>'Data Sheet'!J57/'Data Sheet'!J$61</f>
        <v>2.6650916293428025E-2</v>
      </c>
      <c r="K27" s="16">
        <f>'Data Sheet'!K57/'Data Sheet'!K$61</f>
        <v>2.6940802617814875E-2</v>
      </c>
    </row>
    <row r="28" spans="2:11">
      <c r="B28" s="49" t="str">
        <f>'Data Sheet'!A58</f>
        <v>Reserves</v>
      </c>
      <c r="C28" s="16">
        <f>'Data Sheet'!C58/'Data Sheet'!C$61</f>
        <v>6.4565173612382759E-2</v>
      </c>
      <c r="D28" s="16">
        <f>'Data Sheet'!D58/'Data Sheet'!D$61</f>
        <v>4.2291983401726636E-2</v>
      </c>
      <c r="E28" s="16">
        <f>'Data Sheet'!E58/'Data Sheet'!E$61</f>
        <v>4.5843234140294516E-2</v>
      </c>
      <c r="F28" s="16">
        <f>'Data Sheet'!F58/'Data Sheet'!F$61</f>
        <v>7.574015768649929E-2</v>
      </c>
      <c r="G28" s="16">
        <f>'Data Sheet'!G58/'Data Sheet'!G$61</f>
        <v>6.6856674707562458E-2</v>
      </c>
      <c r="H28" s="16">
        <f>'Data Sheet'!H58/'Data Sheet'!H$61</f>
        <v>6.0042022540280009E-2</v>
      </c>
      <c r="I28" s="16">
        <f>'Data Sheet'!I58/'Data Sheet'!I$61</f>
        <v>6.2064572527210204E-2</v>
      </c>
      <c r="J28" s="16">
        <f>'Data Sheet'!J58/'Data Sheet'!J$61</f>
        <v>6.4466434013872503E-2</v>
      </c>
      <c r="K28" s="16">
        <f>'Data Sheet'!K58/'Data Sheet'!K$61</f>
        <v>7.4441080044890515E-2</v>
      </c>
    </row>
    <row r="29" spans="2:11">
      <c r="B29" s="49" t="str">
        <f>'Data Sheet'!A59</f>
        <v>Borrowings</v>
      </c>
      <c r="C29" s="16">
        <f>'Data Sheet'!C59/'Data Sheet'!C$61</f>
        <v>0.80722200353707207</v>
      </c>
      <c r="D29" s="16">
        <f>'Data Sheet'!D59/'Data Sheet'!D$61</f>
        <v>0.82063373416491814</v>
      </c>
      <c r="E29" s="16">
        <f>'Data Sheet'!E59/'Data Sheet'!E$61</f>
        <v>0.82991840133098549</v>
      </c>
      <c r="F29" s="16">
        <f>'Data Sheet'!F59/'Data Sheet'!F$61</f>
        <v>0.84186655789799614</v>
      </c>
      <c r="G29" s="16">
        <f>'Data Sheet'!G59/'Data Sheet'!G$61</f>
        <v>0.8507194429353927</v>
      </c>
      <c r="H29" s="16">
        <f>'Data Sheet'!H59/'Data Sheet'!H$61</f>
        <v>0.84930605828109595</v>
      </c>
      <c r="I29" s="16">
        <f>'Data Sheet'!I59/'Data Sheet'!I$61</f>
        <v>0.86323787743381253</v>
      </c>
      <c r="J29" s="16">
        <f>'Data Sheet'!J59/'Data Sheet'!J$61</f>
        <v>0.85434368204911204</v>
      </c>
      <c r="K29" s="16">
        <f>'Data Sheet'!K59/'Data Sheet'!K$61</f>
        <v>0.84941959245978049</v>
      </c>
    </row>
    <row r="30" spans="2:11">
      <c r="B30" s="49" t="str">
        <f>'Data Sheet'!A60</f>
        <v>Other Liabilities</v>
      </c>
      <c r="C30" s="16">
        <f>'Data Sheet'!C60/'Data Sheet'!C$61</f>
        <v>8.6455962012682797E-2</v>
      </c>
      <c r="D30" s="16">
        <f>'Data Sheet'!D60/'Data Sheet'!D$61</f>
        <v>8.6735072055354107E-2</v>
      </c>
      <c r="E30" s="16">
        <f>'Data Sheet'!E60/'Data Sheet'!E$61</f>
        <v>8.3818918782334509E-2</v>
      </c>
      <c r="F30" s="16">
        <f>'Data Sheet'!F60/'Data Sheet'!F$61</f>
        <v>3.6990108740113499E-2</v>
      </c>
      <c r="G30" s="16">
        <f>'Data Sheet'!G60/'Data Sheet'!G$61</f>
        <v>3.9301262017378831E-2</v>
      </c>
      <c r="H30" s="16">
        <f>'Data Sheet'!H60/'Data Sheet'!H$61</f>
        <v>5.6304626831810381E-2</v>
      </c>
      <c r="I30" s="16">
        <f>'Data Sheet'!I60/'Data Sheet'!I$61</f>
        <v>4.5655140130381737E-2</v>
      </c>
      <c r="J30" s="16">
        <f>'Data Sheet'!J60/'Data Sheet'!J$61</f>
        <v>5.4538967643587476E-2</v>
      </c>
      <c r="K30" s="16">
        <f>'Data Sheet'!K60/'Data Sheet'!K$61</f>
        <v>4.9198524877514117E-2</v>
      </c>
    </row>
    <row r="32" spans="2:11">
      <c r="B32" s="31" t="s">
        <v>48</v>
      </c>
      <c r="C32" s="16">
        <f>'Data Sheet'!C66/'Data Sheet'!C$66</f>
        <v>1</v>
      </c>
      <c r="D32" s="16">
        <f>'Data Sheet'!D66/'Data Sheet'!D$66</f>
        <v>1</v>
      </c>
      <c r="E32" s="16">
        <f>'Data Sheet'!E66/'Data Sheet'!E$66</f>
        <v>1</v>
      </c>
      <c r="F32" s="16">
        <f>'Data Sheet'!F66/'Data Sheet'!F$66</f>
        <v>1</v>
      </c>
      <c r="G32" s="16">
        <f>'Data Sheet'!G66/'Data Sheet'!G$66</f>
        <v>1</v>
      </c>
      <c r="H32" s="16">
        <f>'Data Sheet'!H66/'Data Sheet'!H$66</f>
        <v>1</v>
      </c>
      <c r="I32" s="16">
        <f>'Data Sheet'!I66/'Data Sheet'!I$66</f>
        <v>1</v>
      </c>
      <c r="J32" s="16">
        <f>'Data Sheet'!J66/'Data Sheet'!J$66</f>
        <v>1</v>
      </c>
      <c r="K32" s="16">
        <f>'Data Sheet'!K66/'Data Sheet'!K$66</f>
        <v>1</v>
      </c>
    </row>
    <row r="33" spans="2:11">
      <c r="B33" s="49" t="str">
        <f>'Data Sheet'!A62</f>
        <v>Net Block</v>
      </c>
      <c r="C33" s="16">
        <f>'Data Sheet'!C62/'Data Sheet'!C$66</f>
        <v>1.0848669455894023E-4</v>
      </c>
      <c r="D33" s="16">
        <f>'Data Sheet'!D62/'Data Sheet'!D$66</f>
        <v>8.8854862138827546E-5</v>
      </c>
      <c r="E33" s="16">
        <f>'Data Sheet'!E62/'Data Sheet'!E$66</f>
        <v>6.9920836483590085E-5</v>
      </c>
      <c r="F33" s="16">
        <f>'Data Sheet'!F62/'Data Sheet'!F$66</f>
        <v>5.4597303503070446E-5</v>
      </c>
      <c r="G33" s="16">
        <f>'Data Sheet'!G62/'Data Sheet'!G$66</f>
        <v>4.0108291661544244E-5</v>
      </c>
      <c r="H33" s="16">
        <f>'Data Sheet'!H62/'Data Sheet'!H$66</f>
        <v>1.1921735384152166E-4</v>
      </c>
      <c r="I33" s="16">
        <f>'Data Sheet'!I62/'Data Sheet'!I$66</f>
        <v>8.4359263613853968E-5</v>
      </c>
      <c r="J33" s="16">
        <f>'Data Sheet'!J62/'Data Sheet'!J$66</f>
        <v>3.9134613178616675E-5</v>
      </c>
      <c r="K33" s="16">
        <f>'Data Sheet'!K62/'Data Sheet'!K$66</f>
        <v>4.5456191847641234E-5</v>
      </c>
    </row>
    <row r="34" spans="2:11">
      <c r="B34" s="49" t="str">
        <f>'Data Sheet'!A63</f>
        <v>Capital Work in Progress</v>
      </c>
      <c r="C34" s="16">
        <f>'Data Sheet'!C63/'Data Sheet'!C$66</f>
        <v>0</v>
      </c>
      <c r="D34" s="16">
        <f>'Data Sheet'!D63/'Data Sheet'!D$66</f>
        <v>0</v>
      </c>
      <c r="E34" s="16">
        <f>'Data Sheet'!E63/'Data Sheet'!E$66</f>
        <v>0</v>
      </c>
      <c r="F34" s="16">
        <f>'Data Sheet'!F63/'Data Sheet'!F$66</f>
        <v>0</v>
      </c>
      <c r="G34" s="16">
        <f>'Data Sheet'!G63/'Data Sheet'!G$66</f>
        <v>0</v>
      </c>
      <c r="H34" s="16">
        <f>'Data Sheet'!H63/'Data Sheet'!H$66</f>
        <v>0</v>
      </c>
      <c r="I34" s="16">
        <f>'Data Sheet'!I63/'Data Sheet'!I$66</f>
        <v>0</v>
      </c>
      <c r="J34" s="16">
        <f>'Data Sheet'!J63/'Data Sheet'!J$66</f>
        <v>0</v>
      </c>
      <c r="K34" s="16">
        <f>'Data Sheet'!K63/'Data Sheet'!K$66</f>
        <v>7.792490031024211E-6</v>
      </c>
    </row>
    <row r="35" spans="2:11">
      <c r="B35" s="49" t="str">
        <f>'Data Sheet'!A64</f>
        <v>Investments</v>
      </c>
      <c r="C35" s="16">
        <f>'Data Sheet'!C64/'Data Sheet'!C$66</f>
        <v>7.2601214811127523E-5</v>
      </c>
      <c r="D35" s="16">
        <f>'Data Sheet'!D64/'Data Sheet'!D$66</f>
        <v>6.0702062936855274E-5</v>
      </c>
      <c r="E35" s="16">
        <f>'Data Sheet'!E64/'Data Sheet'!E$66</f>
        <v>8.6580451199343622E-5</v>
      </c>
      <c r="F35" s="16">
        <f>'Data Sheet'!F64/'Data Sheet'!F$66</f>
        <v>6.3648452222107835E-5</v>
      </c>
      <c r="G35" s="16">
        <f>'Data Sheet'!G64/'Data Sheet'!G$66</f>
        <v>4.177795810175332E-5</v>
      </c>
      <c r="H35" s="16">
        <f>'Data Sheet'!H64/'Data Sheet'!H$66</f>
        <v>3.1486417526927457E-5</v>
      </c>
      <c r="I35" s="16">
        <f>'Data Sheet'!I64/'Data Sheet'!I$66</f>
        <v>2.2223199055282921E-5</v>
      </c>
      <c r="J35" s="16">
        <f>'Data Sheet'!J64/'Data Sheet'!J$66</f>
        <v>2.7857155602913175E-5</v>
      </c>
      <c r="K35" s="16">
        <f>'Data Sheet'!K64/'Data Sheet'!K$66</f>
        <v>1.1049668403780365E-4</v>
      </c>
    </row>
    <row r="36" spans="2:11">
      <c r="B36" s="49" t="str">
        <f>'Data Sheet'!A65</f>
        <v>Other Assets</v>
      </c>
      <c r="C36" s="16">
        <f>'Data Sheet'!C74/'Data Sheet'!C$66</f>
        <v>0.98864542830519331</v>
      </c>
      <c r="D36" s="16">
        <f>'Data Sheet'!D74/'Data Sheet'!D$66</f>
        <v>0.99979244059547256</v>
      </c>
      <c r="E36" s="16">
        <f>'Data Sheet'!E74/'Data Sheet'!E$66</f>
        <v>0.99922529694989071</v>
      </c>
      <c r="F36" s="16">
        <f>'Data Sheet'!F74/'Data Sheet'!F$66</f>
        <v>0.99948936032627889</v>
      </c>
      <c r="G36" s="16">
        <f>'Data Sheet'!G74/'Data Sheet'!G$66</f>
        <v>0.99955238420563786</v>
      </c>
      <c r="H36" s="16">
        <f>'Data Sheet'!H74/'Data Sheet'!H$66</f>
        <v>0.99864314040797564</v>
      </c>
      <c r="I36" s="16">
        <f>'Data Sheet'!I74/'Data Sheet'!I$66</f>
        <v>0.55321627248415506</v>
      </c>
      <c r="J36" s="16">
        <f>'Data Sheet'!J74/'Data Sheet'!J$66</f>
        <v>0.50254506522010678</v>
      </c>
      <c r="K36" s="16">
        <f>'Data Sheet'!K74/'Data Sheet'!K$66</f>
        <v>0.46351922084665076</v>
      </c>
    </row>
    <row r="37" spans="2:11">
      <c r="B37" s="49" t="str">
        <f>'Data Sheet'!A67</f>
        <v>Receivables</v>
      </c>
      <c r="C37" s="16">
        <f>'Data Sheet'!C67/'Data Sheet'!C$66</f>
        <v>0</v>
      </c>
      <c r="D37" s="16">
        <f>'Data Sheet'!D67/'Data Sheet'!D$66</f>
        <v>0</v>
      </c>
      <c r="E37" s="16">
        <f>'Data Sheet'!E67/'Data Sheet'!E$66</f>
        <v>0</v>
      </c>
      <c r="F37" s="16">
        <f>'Data Sheet'!F67/'Data Sheet'!F$66</f>
        <v>0</v>
      </c>
      <c r="G37" s="16">
        <f>'Data Sheet'!G67/'Data Sheet'!G$66</f>
        <v>0</v>
      </c>
      <c r="H37" s="16">
        <f>'Data Sheet'!H67/'Data Sheet'!H$66</f>
        <v>0</v>
      </c>
      <c r="I37" s="16">
        <f>'Data Sheet'!I67/'Data Sheet'!I$66</f>
        <v>0.44600293764023674</v>
      </c>
      <c r="J37" s="16">
        <f>'Data Sheet'!J67/'Data Sheet'!J$66</f>
        <v>0.49628332317920298</v>
      </c>
      <c r="K37" s="16">
        <f>'Data Sheet'!K67/'Data Sheet'!K$66</f>
        <v>0.53535354805573976</v>
      </c>
    </row>
    <row r="38" spans="2:11">
      <c r="B38" s="49" t="str">
        <f>'Data Sheet'!A68</f>
        <v>Inventory</v>
      </c>
      <c r="C38" s="16">
        <f>'Data Sheet'!C68/'Data Sheet'!C$66</f>
        <v>0</v>
      </c>
      <c r="D38" s="16">
        <f>'Data Sheet'!D68/'Data Sheet'!D$66</f>
        <v>0</v>
      </c>
      <c r="E38" s="16">
        <f>'Data Sheet'!E68/'Data Sheet'!E$66</f>
        <v>0</v>
      </c>
      <c r="F38" s="16">
        <f>'Data Sheet'!F68/'Data Sheet'!F$66</f>
        <v>0</v>
      </c>
      <c r="G38" s="16">
        <f>'Data Sheet'!G68/'Data Sheet'!G$66</f>
        <v>0</v>
      </c>
      <c r="H38" s="16">
        <f>'Data Sheet'!H68/'Data Sheet'!H$66</f>
        <v>0</v>
      </c>
      <c r="I38" s="16">
        <f>'Data Sheet'!I68/'Data Sheet'!I$66</f>
        <v>0</v>
      </c>
      <c r="J38" s="16">
        <f>'Data Sheet'!J68/'Data Sheet'!J$66</f>
        <v>0</v>
      </c>
      <c r="K38" s="16">
        <f>'Data Sheet'!K68/'Data Sheet'!K$66</f>
        <v>0</v>
      </c>
    </row>
    <row r="39" spans="2:11">
      <c r="B39" s="49" t="str">
        <f>'Data Sheet'!A69</f>
        <v>Cash &amp; Bank</v>
      </c>
      <c r="C39" s="16">
        <f>'Data Sheet'!C69/'Data Sheet'!C$66</f>
        <v>1.1173483785436566E-2</v>
      </c>
      <c r="D39" s="16">
        <f>'Data Sheet'!D69/'Data Sheet'!D$66</f>
        <v>5.8002479451734646E-5</v>
      </c>
      <c r="E39" s="16">
        <f>'Data Sheet'!E69/'Data Sheet'!E$66</f>
        <v>6.1820176242621458E-4</v>
      </c>
      <c r="F39" s="16">
        <f>'Data Sheet'!F69/'Data Sheet'!F$66</f>
        <v>3.9239391799591496E-4</v>
      </c>
      <c r="G39" s="16">
        <f>'Data Sheet'!G69/'Data Sheet'!G$66</f>
        <v>3.6572954459884141E-4</v>
      </c>
      <c r="H39" s="16">
        <f>'Data Sheet'!H69/'Data Sheet'!H$66</f>
        <v>1.2061558206558889E-3</v>
      </c>
      <c r="I39" s="16">
        <f>'Data Sheet'!I69/'Data Sheet'!I$66</f>
        <v>6.7420741293917322E-4</v>
      </c>
      <c r="J39" s="16">
        <f>'Data Sheet'!J69/'Data Sheet'!J$66</f>
        <v>1.1046198319087811E-3</v>
      </c>
      <c r="K39" s="16">
        <f>'Data Sheet'!K69/'Data Sheet'!K$66</f>
        <v>9.6348573169306501E-4</v>
      </c>
    </row>
  </sheetData>
  <mergeCells count="2">
    <mergeCell ref="B2:K2"/>
    <mergeCell ref="B22:K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ED92-DF6B-404D-BB1E-52F400DA39FE}">
  <dimension ref="B2:O18"/>
  <sheetViews>
    <sheetView showGridLines="0" zoomScale="78" zoomScaleNormal="78" workbookViewId="0">
      <selection activeCell="R20" sqref="R20"/>
    </sheetView>
  </sheetViews>
  <sheetFormatPr defaultRowHeight="15"/>
  <cols>
    <col min="1" max="1" width="1.85546875" customWidth="1"/>
    <col min="2" max="2" width="13.140625" customWidth="1"/>
    <col min="3" max="3" width="14.42578125" customWidth="1"/>
    <col min="4" max="4" width="14.28515625" customWidth="1"/>
    <col min="5" max="5" width="16.85546875" customWidth="1"/>
    <col min="6" max="6" width="2.7109375" customWidth="1"/>
    <col min="7" max="7" width="16" customWidth="1"/>
    <col min="8" max="8" width="10.85546875" customWidth="1"/>
    <col min="9" max="9" width="13.140625" customWidth="1"/>
    <col min="10" max="10" width="23.140625" customWidth="1"/>
    <col min="11" max="11" width="2.85546875" customWidth="1"/>
    <col min="12" max="12" width="19" customWidth="1"/>
    <col min="14" max="14" width="15.42578125" customWidth="1"/>
    <col min="15" max="15" width="21.140625" customWidth="1"/>
  </cols>
  <sheetData>
    <row r="2" spans="2:15">
      <c r="B2" s="53" t="str">
        <f>'Data Sheet'!$B$1&amp;" - "&amp;'Data Sheet'!A17&amp;" "&amp;"Forecasting"</f>
        <v>INDIAN RAILWAY FINANCE CORPORATION LTD - Sales Forecasting</v>
      </c>
      <c r="C2" s="53"/>
      <c r="D2" s="53"/>
      <c r="E2" s="53"/>
      <c r="F2" t="s">
        <v>2</v>
      </c>
      <c r="G2" s="53" t="str">
        <f>'Data Sheet'!$B$1&amp;" - "&amp;'Historical FS'!B22&amp;" "&amp;"Forecasting"</f>
        <v>INDIAN RAILWAY FINANCE CORPORATION LTD - EBITDA Forecasting</v>
      </c>
      <c r="H2" s="53"/>
      <c r="I2" s="53"/>
      <c r="J2" s="53"/>
      <c r="K2" t="s">
        <v>2</v>
      </c>
      <c r="L2" s="53" t="str">
        <f>'Data Sheet'!$B$1&amp;" - "&amp;'Historical FS'!B37&amp;" "&amp;"Forecasting"</f>
        <v>INDIAN RAILWAY FINANCE CORPORATION LTD - Net Profit Forecasting</v>
      </c>
      <c r="M2" s="53"/>
      <c r="N2" s="53"/>
      <c r="O2" s="53"/>
    </row>
    <row r="3" spans="2:15">
      <c r="B3" s="40" t="s">
        <v>88</v>
      </c>
      <c r="C3" s="41" t="s">
        <v>0</v>
      </c>
      <c r="D3" s="41" t="s">
        <v>5</v>
      </c>
      <c r="E3" s="46" t="s">
        <v>58</v>
      </c>
      <c r="G3" s="40" t="s">
        <v>88</v>
      </c>
      <c r="H3" s="41" t="s">
        <v>0</v>
      </c>
      <c r="I3" s="41" t="s">
        <v>15</v>
      </c>
      <c r="J3" s="41" t="s">
        <v>59</v>
      </c>
      <c r="L3" s="40" t="s">
        <v>88</v>
      </c>
      <c r="M3" s="41" t="s">
        <v>0</v>
      </c>
      <c r="N3" s="41" t="s">
        <v>89</v>
      </c>
      <c r="O3" s="41" t="s">
        <v>61</v>
      </c>
    </row>
    <row r="4" spans="2:15">
      <c r="B4">
        <v>1</v>
      </c>
      <c r="C4" s="39">
        <f>IFERROR('Data Sheet'!$B$16,0)</f>
        <v>42094</v>
      </c>
      <c r="D4" s="29">
        <f t="array" ref="D4:D13">TRANSPOSE('Historical FS'!C7:L7)</f>
        <v>6939.19</v>
      </c>
      <c r="F4" t="s">
        <v>2</v>
      </c>
      <c r="G4">
        <v>1</v>
      </c>
      <c r="H4" s="39">
        <f>IFERROR('Data Sheet'!$B$16,0)</f>
        <v>42094</v>
      </c>
      <c r="I4" s="29">
        <f t="array" ref="I4:I13">TRANSPOSE('Historical FS'!C22:L22)</f>
        <v>6905.48</v>
      </c>
      <c r="L4">
        <v>1</v>
      </c>
      <c r="M4" s="39">
        <f>IFERROR('Data Sheet'!$B$16,0)</f>
        <v>42094</v>
      </c>
      <c r="N4" s="29">
        <f t="array" ref="N4:N13">TRANSPOSE('Historical FS'!C37:L37)</f>
        <v>758.3</v>
      </c>
    </row>
    <row r="5" spans="2:15">
      <c r="B5">
        <f>B4+1</f>
        <v>2</v>
      </c>
      <c r="C5" s="39">
        <f>C4+365</f>
        <v>42459</v>
      </c>
      <c r="D5" s="29">
        <v>7506.69</v>
      </c>
      <c r="E5" s="16">
        <f>D5/D4-1</f>
        <v>8.1781879441260363E-2</v>
      </c>
      <c r="G5">
        <f>G4+1</f>
        <v>2</v>
      </c>
      <c r="H5" s="39">
        <f>H4+365</f>
        <v>42459</v>
      </c>
      <c r="I5" s="29">
        <v>7468.49</v>
      </c>
      <c r="J5" s="16">
        <f>I5/I4-1</f>
        <v>8.1530900096734804E-2</v>
      </c>
      <c r="L5">
        <f>L4+1</f>
        <v>2</v>
      </c>
      <c r="M5" s="39">
        <f>M4+365</f>
        <v>42459</v>
      </c>
      <c r="N5" s="29">
        <v>848.68999999999915</v>
      </c>
      <c r="O5" s="16">
        <f>N5/N4-1</f>
        <v>0.11920084399314157</v>
      </c>
    </row>
    <row r="6" spans="2:15">
      <c r="B6">
        <f t="shared" ref="B6:B18" si="0">B5+1</f>
        <v>3</v>
      </c>
      <c r="C6" s="39">
        <f t="shared" ref="C6:C18" si="1">C5+365</f>
        <v>42824</v>
      </c>
      <c r="D6" s="29">
        <v>9047.3799999999992</v>
      </c>
      <c r="E6" s="16">
        <f t="shared" ref="E6:E18" si="2">D6/D5-1</f>
        <v>0.20524225723987533</v>
      </c>
      <c r="G6">
        <f t="shared" ref="G6:G18" si="3">G5+1</f>
        <v>3</v>
      </c>
      <c r="H6" s="39">
        <f t="shared" ref="H6:H18" si="4">H5+365</f>
        <v>42824</v>
      </c>
      <c r="I6" s="29">
        <v>9021.49</v>
      </c>
      <c r="J6" s="16">
        <f t="shared" ref="J6:J18" si="5">I6/I5-1</f>
        <v>0.20794029315162765</v>
      </c>
      <c r="L6">
        <f t="shared" ref="L6:L18" si="6">L5+1</f>
        <v>3</v>
      </c>
      <c r="M6" s="39">
        <f t="shared" ref="M6:M18" si="7">M5+365</f>
        <v>42824</v>
      </c>
      <c r="N6" s="29">
        <v>933.80999999999949</v>
      </c>
      <c r="O6" s="16">
        <f t="shared" ref="O6:O18" si="8">N6/N5-1</f>
        <v>0.10029574992046619</v>
      </c>
    </row>
    <row r="7" spans="2:15">
      <c r="B7">
        <f t="shared" si="0"/>
        <v>4</v>
      </c>
      <c r="C7" s="39">
        <f t="shared" si="1"/>
        <v>43189</v>
      </c>
      <c r="D7" s="29">
        <v>9267.14</v>
      </c>
      <c r="E7" s="16">
        <f t="shared" si="2"/>
        <v>2.4289904922751182E-2</v>
      </c>
      <c r="G7">
        <f t="shared" si="3"/>
        <v>4</v>
      </c>
      <c r="H7" s="39">
        <f t="shared" si="4"/>
        <v>43189</v>
      </c>
      <c r="I7" s="29">
        <v>9229.1999999999989</v>
      </c>
      <c r="J7" s="16">
        <f t="shared" si="5"/>
        <v>2.3023912901305454E-2</v>
      </c>
      <c r="L7">
        <f t="shared" si="6"/>
        <v>4</v>
      </c>
      <c r="M7" s="39">
        <f t="shared" si="7"/>
        <v>43189</v>
      </c>
      <c r="N7" s="29">
        <v>2054.6599999999985</v>
      </c>
      <c r="O7" s="16">
        <f t="shared" si="8"/>
        <v>1.200297705100609</v>
      </c>
    </row>
    <row r="8" spans="2:15">
      <c r="B8">
        <f t="shared" si="0"/>
        <v>5</v>
      </c>
      <c r="C8" s="39">
        <f t="shared" si="1"/>
        <v>43554</v>
      </c>
      <c r="D8" s="29">
        <v>11133.59</v>
      </c>
      <c r="E8" s="16">
        <f t="shared" si="2"/>
        <v>0.20140518002317886</v>
      </c>
      <c r="G8">
        <f t="shared" si="3"/>
        <v>5</v>
      </c>
      <c r="H8" s="39">
        <f t="shared" si="4"/>
        <v>43554</v>
      </c>
      <c r="I8" s="29">
        <v>11085.119999999999</v>
      </c>
      <c r="J8" s="16">
        <f t="shared" si="5"/>
        <v>0.20109218567156417</v>
      </c>
      <c r="L8">
        <f t="shared" si="6"/>
        <v>5</v>
      </c>
      <c r="M8" s="39">
        <f t="shared" si="7"/>
        <v>43554</v>
      </c>
      <c r="N8" s="29">
        <v>2254.7399999999984</v>
      </c>
      <c r="O8" s="16">
        <f t="shared" si="8"/>
        <v>9.7378641721744819E-2</v>
      </c>
    </row>
    <row r="9" spans="2:15">
      <c r="B9">
        <f t="shared" si="0"/>
        <v>6</v>
      </c>
      <c r="C9" s="39">
        <f t="shared" si="1"/>
        <v>43919</v>
      </c>
      <c r="D9" s="29">
        <v>13421.02</v>
      </c>
      <c r="E9" s="16">
        <f t="shared" si="2"/>
        <v>0.20545304793871511</v>
      </c>
      <c r="G9">
        <f t="shared" si="3"/>
        <v>6</v>
      </c>
      <c r="H9" s="39">
        <f t="shared" si="4"/>
        <v>43919</v>
      </c>
      <c r="I9" s="29">
        <v>13355.19</v>
      </c>
      <c r="J9" s="16">
        <f t="shared" si="5"/>
        <v>0.20478533385294906</v>
      </c>
      <c r="L9">
        <f t="shared" si="6"/>
        <v>6</v>
      </c>
      <c r="M9" s="39">
        <f t="shared" si="7"/>
        <v>43919</v>
      </c>
      <c r="N9" s="29">
        <v>3192.0900000000006</v>
      </c>
      <c r="O9" s="16">
        <f t="shared" si="8"/>
        <v>0.41572420766917828</v>
      </c>
    </row>
    <row r="10" spans="2:15">
      <c r="B10">
        <f t="shared" si="0"/>
        <v>7</v>
      </c>
      <c r="C10" s="39">
        <f t="shared" si="1"/>
        <v>44284</v>
      </c>
      <c r="D10" s="29">
        <v>15770.51</v>
      </c>
      <c r="E10" s="16">
        <f t="shared" si="2"/>
        <v>0.17506046485289484</v>
      </c>
      <c r="G10">
        <f t="shared" si="3"/>
        <v>7</v>
      </c>
      <c r="H10" s="39">
        <f t="shared" si="4"/>
        <v>44284</v>
      </c>
      <c r="I10" s="29">
        <v>15657.279999999999</v>
      </c>
      <c r="J10" s="16">
        <f t="shared" si="5"/>
        <v>0.17237418561622841</v>
      </c>
      <c r="L10">
        <f t="shared" si="6"/>
        <v>7</v>
      </c>
      <c r="M10" s="39">
        <f t="shared" si="7"/>
        <v>44284</v>
      </c>
      <c r="N10" s="29">
        <v>4416.1299999999992</v>
      </c>
      <c r="O10" s="16">
        <f t="shared" si="8"/>
        <v>0.38346036609243428</v>
      </c>
    </row>
    <row r="11" spans="2:15">
      <c r="B11">
        <f t="shared" si="0"/>
        <v>8</v>
      </c>
      <c r="C11" s="39">
        <f t="shared" si="1"/>
        <v>44649</v>
      </c>
      <c r="D11" s="29">
        <v>20299.38</v>
      </c>
      <c r="E11" s="16">
        <f t="shared" si="2"/>
        <v>0.28717333808481782</v>
      </c>
      <c r="G11">
        <f t="shared" si="3"/>
        <v>8</v>
      </c>
      <c r="H11" s="39">
        <f t="shared" si="4"/>
        <v>44649</v>
      </c>
      <c r="I11" s="29">
        <v>20176.740000000002</v>
      </c>
      <c r="J11" s="16">
        <f t="shared" si="5"/>
        <v>0.28864911402235904</v>
      </c>
      <c r="L11">
        <f t="shared" si="6"/>
        <v>8</v>
      </c>
      <c r="M11" s="39">
        <f t="shared" si="7"/>
        <v>44649</v>
      </c>
      <c r="N11" s="29">
        <v>6089.8300000000008</v>
      </c>
      <c r="O11" s="16">
        <f t="shared" si="8"/>
        <v>0.3789969951065757</v>
      </c>
    </row>
    <row r="12" spans="2:15">
      <c r="B12">
        <f t="shared" si="0"/>
        <v>9</v>
      </c>
      <c r="C12" s="39">
        <f t="shared" si="1"/>
        <v>45014</v>
      </c>
      <c r="D12" s="29">
        <v>23722.09</v>
      </c>
      <c r="E12" s="16">
        <f t="shared" si="2"/>
        <v>0.16861155365336278</v>
      </c>
      <c r="G12">
        <f t="shared" si="3"/>
        <v>9</v>
      </c>
      <c r="H12" s="39">
        <f t="shared" si="4"/>
        <v>45014</v>
      </c>
      <c r="I12" s="29">
        <v>23587.77</v>
      </c>
      <c r="J12" s="16">
        <f t="shared" si="5"/>
        <v>0.16905753853199279</v>
      </c>
      <c r="L12">
        <f t="shared" si="6"/>
        <v>9</v>
      </c>
      <c r="M12" s="39">
        <f t="shared" si="7"/>
        <v>45014</v>
      </c>
      <c r="N12" s="29">
        <v>6167.16</v>
      </c>
      <c r="O12" s="16">
        <f t="shared" si="8"/>
        <v>1.2698219818943812E-2</v>
      </c>
    </row>
    <row r="13" spans="2:15">
      <c r="B13">
        <f t="shared" si="0"/>
        <v>10</v>
      </c>
      <c r="C13" s="39">
        <f t="shared" si="1"/>
        <v>45379</v>
      </c>
      <c r="D13" s="29">
        <v>26645.47</v>
      </c>
      <c r="E13" s="16">
        <f t="shared" si="2"/>
        <v>0.12323450421105386</v>
      </c>
      <c r="G13">
        <f t="shared" si="3"/>
        <v>10</v>
      </c>
      <c r="H13" s="39">
        <f t="shared" si="4"/>
        <v>45379</v>
      </c>
      <c r="I13" s="29">
        <v>26512.61</v>
      </c>
      <c r="J13" s="16">
        <f t="shared" si="5"/>
        <v>0.12399815667186842</v>
      </c>
      <c r="L13">
        <f t="shared" si="6"/>
        <v>10</v>
      </c>
      <c r="M13" s="39">
        <f t="shared" si="7"/>
        <v>45379</v>
      </c>
      <c r="N13" s="29">
        <v>6412.1100000000006</v>
      </c>
      <c r="O13" s="16">
        <f t="shared" si="8"/>
        <v>3.9718444146090048E-2</v>
      </c>
    </row>
    <row r="14" spans="2:15">
      <c r="B14" s="42">
        <f t="shared" si="0"/>
        <v>11</v>
      </c>
      <c r="C14" s="43">
        <f t="shared" si="1"/>
        <v>45744</v>
      </c>
      <c r="D14" s="44">
        <f>FORECAST(B14,$D$4:$D$13,$B$4:$B$13)</f>
        <v>26672.641333333333</v>
      </c>
      <c r="E14" s="45">
        <f t="shared" si="2"/>
        <v>1.0197355623049464E-3</v>
      </c>
      <c r="G14" s="42">
        <f t="shared" si="3"/>
        <v>11</v>
      </c>
      <c r="H14" s="43">
        <f t="shared" si="4"/>
        <v>45744</v>
      </c>
      <c r="I14" s="44">
        <f>FORECAST(G14,$I$4:$I$13,$G$4:$G$13)</f>
        <v>26520.926666666666</v>
      </c>
      <c r="J14" s="45">
        <f t="shared" si="5"/>
        <v>3.1368721022428936E-4</v>
      </c>
      <c r="L14" s="42">
        <f t="shared" si="6"/>
        <v>11</v>
      </c>
      <c r="M14" s="43">
        <f t="shared" si="7"/>
        <v>45744</v>
      </c>
      <c r="N14" s="44">
        <f>FORECAST(L14,$N$4:$N$13,$L$4:$L$13)</f>
        <v>7376.6</v>
      </c>
      <c r="O14" s="45">
        <f t="shared" si="8"/>
        <v>0.15041694543605777</v>
      </c>
    </row>
    <row r="15" spans="2:15">
      <c r="B15" s="42">
        <f t="shared" si="0"/>
        <v>12</v>
      </c>
      <c r="C15" s="43">
        <f t="shared" si="1"/>
        <v>46109</v>
      </c>
      <c r="D15" s="44">
        <f t="shared" ref="D15:D18" si="9">FORECAST(B15,$D$4:$D$13,$B$4:$B$13)</f>
        <v>28908.531393939396</v>
      </c>
      <c r="E15" s="45">
        <f t="shared" si="2"/>
        <v>8.3827095811910723E-2</v>
      </c>
      <c r="G15" s="42">
        <f t="shared" si="3"/>
        <v>12</v>
      </c>
      <c r="H15" s="43">
        <f t="shared" si="4"/>
        <v>46109</v>
      </c>
      <c r="I15" s="44">
        <f>FORECAST(G15,$I$4:$I$13,$G$4:$G$13)</f>
        <v>28742.924787878786</v>
      </c>
      <c r="J15" s="45">
        <f t="shared" si="5"/>
        <v>8.3782823622255975E-2</v>
      </c>
      <c r="L15" s="42">
        <f t="shared" si="6"/>
        <v>12</v>
      </c>
      <c r="M15" s="43">
        <f t="shared" si="7"/>
        <v>46109</v>
      </c>
      <c r="N15" s="44">
        <f>FORECAST(L15,$N$4:$N$13,$L$4:$L$13)</f>
        <v>8115.4814545454537</v>
      </c>
      <c r="O15" s="45">
        <f t="shared" si="8"/>
        <v>0.1001655850317833</v>
      </c>
    </row>
    <row r="16" spans="2:15">
      <c r="B16" s="42">
        <f t="shared" si="0"/>
        <v>13</v>
      </c>
      <c r="C16" s="43">
        <f t="shared" si="1"/>
        <v>46474</v>
      </c>
      <c r="D16" s="44">
        <f t="shared" si="9"/>
        <v>31144.42145454546</v>
      </c>
      <c r="E16" s="45">
        <f t="shared" si="2"/>
        <v>7.7343605945849436E-2</v>
      </c>
      <c r="G16" s="42">
        <f t="shared" si="3"/>
        <v>13</v>
      </c>
      <c r="H16" s="43">
        <f t="shared" si="4"/>
        <v>46474</v>
      </c>
      <c r="I16" s="44">
        <f>FORECAST(G16,$I$4:$I$13,$G$4:$G$13)</f>
        <v>30964.922909090914</v>
      </c>
      <c r="J16" s="45">
        <f t="shared" si="5"/>
        <v>7.7305915720489615E-2</v>
      </c>
      <c r="L16" s="42">
        <f t="shared" si="6"/>
        <v>13</v>
      </c>
      <c r="M16" s="43">
        <f t="shared" si="7"/>
        <v>46474</v>
      </c>
      <c r="N16" s="44">
        <f>FORECAST(L16,$N$4:$N$13,$L$4:$L$13)</f>
        <v>8854.3629090909089</v>
      </c>
      <c r="O16" s="45">
        <f t="shared" si="8"/>
        <v>9.1045917446045177E-2</v>
      </c>
    </row>
    <row r="17" spans="2:15">
      <c r="B17" s="42">
        <f t="shared" si="0"/>
        <v>14</v>
      </c>
      <c r="C17" s="43">
        <f t="shared" si="1"/>
        <v>46839</v>
      </c>
      <c r="D17" s="44">
        <f t="shared" si="9"/>
        <v>33380.311515151516</v>
      </c>
      <c r="E17" s="45">
        <f t="shared" si="2"/>
        <v>7.1791028896436071E-2</v>
      </c>
      <c r="G17" s="42">
        <f t="shared" si="3"/>
        <v>14</v>
      </c>
      <c r="H17" s="43">
        <f t="shared" si="4"/>
        <v>46839</v>
      </c>
      <c r="I17" s="44">
        <f>FORECAST(G17,$I$4:$I$13,$G$4:$G$13)</f>
        <v>33186.921030303034</v>
      </c>
      <c r="J17" s="45">
        <f t="shared" si="5"/>
        <v>7.1758554921503404E-2</v>
      </c>
      <c r="L17" s="42">
        <f t="shared" si="6"/>
        <v>14</v>
      </c>
      <c r="M17" s="43">
        <f t="shared" si="7"/>
        <v>46839</v>
      </c>
      <c r="N17" s="44">
        <f>FORECAST(L17,$N$4:$N$13,$L$4:$L$13)</f>
        <v>9593.2443636363641</v>
      </c>
      <c r="O17" s="45">
        <f t="shared" si="8"/>
        <v>8.3448291213231718E-2</v>
      </c>
    </row>
    <row r="18" spans="2:15">
      <c r="B18" s="42">
        <f t="shared" si="0"/>
        <v>15</v>
      </c>
      <c r="C18" s="43">
        <f t="shared" si="1"/>
        <v>47204</v>
      </c>
      <c r="D18" s="44">
        <f t="shared" si="9"/>
        <v>35616.201575757579</v>
      </c>
      <c r="E18" s="45">
        <f t="shared" si="2"/>
        <v>6.6982300617271839E-2</v>
      </c>
      <c r="G18" s="42">
        <f t="shared" si="3"/>
        <v>15</v>
      </c>
      <c r="H18" s="43">
        <f t="shared" si="4"/>
        <v>47204</v>
      </c>
      <c r="I18" s="44">
        <f>FORECAST(G18,$I$4:$I$13,$G$4:$G$13)</f>
        <v>35408.919151515154</v>
      </c>
      <c r="J18" s="45">
        <f t="shared" si="5"/>
        <v>6.6954030450224966E-2</v>
      </c>
      <c r="L18" s="42">
        <f t="shared" si="6"/>
        <v>15</v>
      </c>
      <c r="M18" s="43">
        <f t="shared" si="7"/>
        <v>47204</v>
      </c>
      <c r="N18" s="44">
        <f>FORECAST(L18,$N$4:$N$13,$L$4:$L$13)</f>
        <v>10332.125818181818</v>
      </c>
      <c r="O18" s="45">
        <f t="shared" si="8"/>
        <v>7.7021018806340269E-2</v>
      </c>
    </row>
  </sheetData>
  <mergeCells count="3">
    <mergeCell ref="B2:E2"/>
    <mergeCell ref="G2:J2"/>
    <mergeCell ref="L2:O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2550-3716-4389-BE72-8CE43FACABE6}">
  <sheetPr>
    <tabColor rgb="FF002060"/>
  </sheetPr>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033F-262B-4CE0-BDD4-4B5FBB07BFAD}">
  <sheetPr>
    <tabColor rgb="FFC00000"/>
  </sheetPr>
  <dimension ref="A1:K93"/>
  <sheetViews>
    <sheetView zoomScale="120" zoomScaleNormal="120" zoomScalePageLayoutView="120" workbookViewId="0">
      <pane xSplit="1" ySplit="1" topLeftCell="B6" activePane="bottomRight" state="frozen"/>
      <selection pane="bottomRight" activeCell="C30" sqref="C30"/>
      <selection pane="bottomLeft" activeCell="C4" sqref="C4"/>
      <selection pane="topRight" activeCell="C4" sqref="C4"/>
    </sheetView>
  </sheetViews>
  <sheetFormatPr defaultColWidth="8.7109375" defaultRowHeight="15"/>
  <cols>
    <col min="1" max="1" width="27.7109375" style="1" bestFit="1" customWidth="1"/>
    <col min="2" max="2" width="1.85546875" style="1" customWidth="1"/>
    <col min="3" max="11" width="13.42578125" style="1" bestFit="1" customWidth="1"/>
    <col min="12" max="16384" width="8.7109375" style="1"/>
  </cols>
  <sheetData>
    <row r="1" spans="1:11" s="3" customFormat="1">
      <c r="A1" s="3" t="s">
        <v>90</v>
      </c>
      <c r="B1" s="3" t="s">
        <v>91</v>
      </c>
      <c r="E1" s="55" t="str">
        <f>IF(B2&lt;&gt;B3, "A NEW VERSION OF THE WORKSHEET IS AVAILABLE", "")</f>
        <v/>
      </c>
      <c r="F1" s="55"/>
      <c r="G1" s="55"/>
      <c r="H1" s="55"/>
      <c r="I1" s="55"/>
      <c r="J1" s="55"/>
      <c r="K1" s="55"/>
    </row>
    <row r="2" spans="1:11">
      <c r="A2" s="3" t="s">
        <v>92</v>
      </c>
      <c r="B2" s="1">
        <v>2.1</v>
      </c>
      <c r="E2" s="56" t="s">
        <v>93</v>
      </c>
      <c r="F2" s="56"/>
      <c r="G2" s="56"/>
      <c r="H2" s="56"/>
      <c r="I2" s="56"/>
      <c r="J2" s="56"/>
      <c r="K2" s="56"/>
    </row>
    <row r="3" spans="1:11">
      <c r="A3" s="3" t="s">
        <v>94</v>
      </c>
      <c r="B3" s="1">
        <v>2.1</v>
      </c>
    </row>
    <row r="4" spans="1:11">
      <c r="A4" s="3"/>
    </row>
    <row r="5" spans="1:11">
      <c r="A5" s="3" t="s">
        <v>95</v>
      </c>
    </row>
    <row r="6" spans="1:11">
      <c r="A6" s="1" t="s">
        <v>96</v>
      </c>
      <c r="B6" s="1">
        <f>IF(B9&gt;0, B9/B8, 0)</f>
        <v>1306.8505835087046</v>
      </c>
    </row>
    <row r="7" spans="1:11">
      <c r="A7" s="1" t="s">
        <v>97</v>
      </c>
      <c r="B7">
        <v>10</v>
      </c>
    </row>
    <row r="8" spans="1:11">
      <c r="A8" s="1" t="s">
        <v>98</v>
      </c>
      <c r="B8">
        <v>156.81</v>
      </c>
    </row>
    <row r="9" spans="1:11">
      <c r="A9" s="1" t="s">
        <v>99</v>
      </c>
      <c r="B9">
        <v>204927.24</v>
      </c>
    </row>
    <row r="15" spans="1:11">
      <c r="A15" s="3" t="s">
        <v>100</v>
      </c>
    </row>
    <row r="16" spans="1:11" s="5" customFormat="1">
      <c r="A16" s="7" t="s">
        <v>101</v>
      </c>
      <c r="B16" s="6">
        <v>42094</v>
      </c>
      <c r="C16" s="6">
        <v>42460</v>
      </c>
      <c r="D16" s="6">
        <v>42825</v>
      </c>
      <c r="E16" s="6">
        <v>43190</v>
      </c>
      <c r="F16" s="6">
        <v>43555</v>
      </c>
      <c r="G16" s="6">
        <v>43921</v>
      </c>
      <c r="H16" s="6">
        <v>44286</v>
      </c>
      <c r="I16" s="6">
        <v>44651</v>
      </c>
      <c r="J16" s="6">
        <v>45016</v>
      </c>
      <c r="K16" s="6">
        <v>45382</v>
      </c>
    </row>
    <row r="17" spans="1:11" s="4" customFormat="1">
      <c r="A17" s="4" t="s">
        <v>5</v>
      </c>
      <c r="B17">
        <v>6939.19</v>
      </c>
      <c r="C17">
        <v>7506.69</v>
      </c>
      <c r="D17">
        <v>9047.3799999999992</v>
      </c>
      <c r="E17">
        <v>9267.14</v>
      </c>
      <c r="F17">
        <v>11133.59</v>
      </c>
      <c r="G17">
        <v>13421.02</v>
      </c>
      <c r="H17">
        <v>15770.51</v>
      </c>
      <c r="I17">
        <v>20299.38</v>
      </c>
      <c r="J17">
        <v>23722.09</v>
      </c>
      <c r="K17">
        <v>26645.47</v>
      </c>
    </row>
    <row r="18" spans="1:11" s="4" customFormat="1">
      <c r="A18" s="1" t="s">
        <v>102</v>
      </c>
    </row>
    <row r="19" spans="1:11" s="4" customFormat="1">
      <c r="A19" s="1" t="s">
        <v>103</v>
      </c>
    </row>
    <row r="20" spans="1:11" s="4" customFormat="1">
      <c r="A20" s="1" t="s">
        <v>104</v>
      </c>
      <c r="B20">
        <v>0.21</v>
      </c>
      <c r="C20">
        <v>0.2</v>
      </c>
      <c r="D20">
        <v>0.22</v>
      </c>
      <c r="E20">
        <v>0.24</v>
      </c>
      <c r="F20">
        <v>0.22</v>
      </c>
      <c r="G20">
        <v>0.26</v>
      </c>
      <c r="H20">
        <v>0.24</v>
      </c>
      <c r="I20">
        <v>0.21</v>
      </c>
      <c r="J20">
        <v>0.23</v>
      </c>
      <c r="K20">
        <v>0.25</v>
      </c>
    </row>
    <row r="21" spans="1:11" s="4" customFormat="1">
      <c r="A21" s="1" t="s">
        <v>105</v>
      </c>
      <c r="G21">
        <v>2.08</v>
      </c>
      <c r="H21">
        <v>2.62</v>
      </c>
      <c r="I21">
        <v>3.95</v>
      </c>
      <c r="J21">
        <v>3.92</v>
      </c>
      <c r="K21">
        <v>3.97</v>
      </c>
    </row>
    <row r="22" spans="1:11" s="4" customFormat="1">
      <c r="A22" s="1" t="s">
        <v>106</v>
      </c>
      <c r="B22">
        <v>3.1</v>
      </c>
      <c r="C22">
        <v>4.09</v>
      </c>
      <c r="D22">
        <v>3</v>
      </c>
      <c r="E22">
        <v>5.53</v>
      </c>
      <c r="F22">
        <v>6.47</v>
      </c>
      <c r="G22">
        <v>6.5</v>
      </c>
      <c r="H22">
        <v>8.01</v>
      </c>
      <c r="I22">
        <v>11.12</v>
      </c>
      <c r="J22">
        <v>13.25</v>
      </c>
      <c r="K22">
        <v>11.34</v>
      </c>
    </row>
    <row r="23" spans="1:11" s="4" customFormat="1">
      <c r="A23" s="1" t="s">
        <v>107</v>
      </c>
      <c r="B23">
        <v>29.93</v>
      </c>
      <c r="C23">
        <v>33.130000000000003</v>
      </c>
      <c r="D23">
        <v>21.98</v>
      </c>
      <c r="E23">
        <v>6.94</v>
      </c>
      <c r="F23">
        <v>4.68</v>
      </c>
      <c r="G23">
        <v>4.08</v>
      </c>
      <c r="H23">
        <v>5.04</v>
      </c>
      <c r="I23">
        <v>6.87</v>
      </c>
      <c r="J23">
        <v>8.1300000000000008</v>
      </c>
      <c r="K23">
        <v>7.19</v>
      </c>
    </row>
    <row r="24" spans="1:11" s="4" customFormat="1">
      <c r="A24" s="1" t="s">
        <v>108</v>
      </c>
      <c r="B24">
        <v>0.47</v>
      </c>
      <c r="C24">
        <v>0.78</v>
      </c>
      <c r="D24">
        <v>0.69</v>
      </c>
      <c r="E24">
        <v>25.23</v>
      </c>
      <c r="F24">
        <v>37.1</v>
      </c>
      <c r="G24">
        <v>52.91</v>
      </c>
      <c r="H24">
        <v>97.32</v>
      </c>
      <c r="I24">
        <v>100.49</v>
      </c>
      <c r="J24">
        <v>108.79</v>
      </c>
      <c r="K24">
        <v>110.11</v>
      </c>
    </row>
    <row r="25" spans="1:11" s="4" customFormat="1">
      <c r="A25" s="4" t="s">
        <v>13</v>
      </c>
      <c r="B25">
        <v>0.97</v>
      </c>
      <c r="C25">
        <v>0.61</v>
      </c>
      <c r="D25">
        <v>0.26</v>
      </c>
      <c r="E25">
        <v>1.23</v>
      </c>
      <c r="F25">
        <v>-0.02</v>
      </c>
      <c r="G25">
        <v>0.06</v>
      </c>
      <c r="H25">
        <v>0.33</v>
      </c>
      <c r="I25">
        <v>2.2200000000000002</v>
      </c>
      <c r="J25">
        <v>40.659999999999997</v>
      </c>
      <c r="K25">
        <v>10.41</v>
      </c>
    </row>
    <row r="26" spans="1:11" s="4" customFormat="1">
      <c r="A26" s="4" t="s">
        <v>19</v>
      </c>
      <c r="B26">
        <v>0.44</v>
      </c>
      <c r="C26">
        <v>0.35</v>
      </c>
      <c r="D26">
        <v>0.35</v>
      </c>
      <c r="E26">
        <v>0.35</v>
      </c>
      <c r="F26">
        <v>0.42</v>
      </c>
      <c r="G26">
        <v>0.46</v>
      </c>
      <c r="H26">
        <v>4.43</v>
      </c>
      <c r="I26">
        <v>14.03</v>
      </c>
      <c r="J26">
        <v>14.06</v>
      </c>
      <c r="K26">
        <v>9.44</v>
      </c>
    </row>
    <row r="27" spans="1:11" s="4" customFormat="1">
      <c r="A27" s="4" t="s">
        <v>17</v>
      </c>
      <c r="B27">
        <v>4991.83</v>
      </c>
      <c r="C27">
        <v>5518.84</v>
      </c>
      <c r="D27">
        <v>6888.13</v>
      </c>
      <c r="E27">
        <v>6637.59</v>
      </c>
      <c r="F27">
        <v>8183.1</v>
      </c>
      <c r="G27">
        <v>10162.700000000001</v>
      </c>
      <c r="H27">
        <v>11237.05</v>
      </c>
      <c r="I27">
        <v>14074.78</v>
      </c>
      <c r="J27">
        <v>17447.21</v>
      </c>
      <c r="K27">
        <v>20101.47</v>
      </c>
    </row>
    <row r="28" spans="1:11" s="4" customFormat="1">
      <c r="A28" s="4" t="s">
        <v>109</v>
      </c>
      <c r="B28">
        <v>1914.18</v>
      </c>
      <c r="C28">
        <v>1949.91</v>
      </c>
      <c r="D28">
        <v>2133.27</v>
      </c>
      <c r="E28">
        <v>2592.4899999999998</v>
      </c>
      <c r="F28">
        <v>2901.58</v>
      </c>
      <c r="G28">
        <v>3192.09</v>
      </c>
      <c r="H28">
        <v>4416.13</v>
      </c>
      <c r="I28">
        <v>6090.15</v>
      </c>
      <c r="J28">
        <v>6167.16</v>
      </c>
      <c r="K28">
        <v>6412.11</v>
      </c>
    </row>
    <row r="29" spans="1:11" s="4" customFormat="1">
      <c r="A29" s="4" t="s">
        <v>23</v>
      </c>
      <c r="B29">
        <v>1155.8800000000001</v>
      </c>
      <c r="C29">
        <v>1101.22</v>
      </c>
      <c r="D29">
        <v>1199.46</v>
      </c>
      <c r="E29">
        <v>537.83000000000004</v>
      </c>
      <c r="F29">
        <v>646.84</v>
      </c>
      <c r="I29">
        <v>0.32</v>
      </c>
    </row>
    <row r="30" spans="1:11" s="4" customFormat="1">
      <c r="A30" s="4" t="s">
        <v>89</v>
      </c>
      <c r="B30">
        <v>758.3</v>
      </c>
      <c r="C30">
        <v>848.69</v>
      </c>
      <c r="D30">
        <v>933.81</v>
      </c>
      <c r="E30">
        <v>2054.66</v>
      </c>
      <c r="F30">
        <v>2254.75</v>
      </c>
      <c r="G30">
        <v>3192.1</v>
      </c>
      <c r="H30">
        <v>4416.13</v>
      </c>
      <c r="I30">
        <v>6089.84</v>
      </c>
      <c r="J30">
        <v>6167.16</v>
      </c>
      <c r="K30">
        <v>6412.1</v>
      </c>
    </row>
    <row r="31" spans="1:11" s="4" customFormat="1">
      <c r="A31" s="4" t="s">
        <v>110</v>
      </c>
      <c r="B31">
        <v>151.96</v>
      </c>
      <c r="C31">
        <v>339.48</v>
      </c>
      <c r="D31">
        <v>373.31</v>
      </c>
      <c r="E31">
        <v>375.27</v>
      </c>
      <c r="F31">
        <v>399.61</v>
      </c>
      <c r="H31">
        <v>1372.19</v>
      </c>
      <c r="I31">
        <v>1829.59</v>
      </c>
      <c r="J31">
        <v>1960.28</v>
      </c>
      <c r="K31">
        <v>1960.28</v>
      </c>
    </row>
    <row r="32" spans="1:11" s="4" customFormat="1"/>
    <row r="33" spans="1:11">
      <c r="A33" s="4"/>
    </row>
    <row r="34" spans="1:11">
      <c r="A34" s="4"/>
    </row>
    <row r="35" spans="1:11">
      <c r="A35" s="4"/>
    </row>
    <row r="36" spans="1:11">
      <c r="A36" s="4"/>
    </row>
    <row r="37" spans="1:11">
      <c r="A37" s="4"/>
    </row>
    <row r="38" spans="1:11">
      <c r="A38" s="4"/>
    </row>
    <row r="39" spans="1:11">
      <c r="A39" s="4"/>
    </row>
    <row r="40" spans="1:11">
      <c r="A40" s="3" t="s">
        <v>111</v>
      </c>
    </row>
    <row r="41" spans="1:11" s="5" customFormat="1">
      <c r="A41" s="7" t="s">
        <v>101</v>
      </c>
      <c r="B41" s="6">
        <v>44651</v>
      </c>
      <c r="C41" s="6">
        <v>44742</v>
      </c>
      <c r="D41" s="6">
        <v>44834</v>
      </c>
      <c r="E41" s="6">
        <v>44926</v>
      </c>
      <c r="F41" s="6">
        <v>45016</v>
      </c>
      <c r="G41" s="6">
        <v>45107</v>
      </c>
      <c r="H41" s="6">
        <v>45199</v>
      </c>
      <c r="I41" s="6">
        <v>45291</v>
      </c>
      <c r="J41" s="6">
        <v>45382</v>
      </c>
      <c r="K41" s="6">
        <v>45473</v>
      </c>
    </row>
    <row r="42" spans="1:11" s="4" customFormat="1">
      <c r="A42" s="4" t="s">
        <v>5</v>
      </c>
      <c r="B42">
        <v>5931.72</v>
      </c>
      <c r="C42">
        <v>5627.44</v>
      </c>
      <c r="D42">
        <v>5809.8</v>
      </c>
      <c r="E42">
        <v>6218.1</v>
      </c>
      <c r="F42">
        <v>6194.02</v>
      </c>
      <c r="G42">
        <v>6679.17</v>
      </c>
      <c r="H42">
        <v>6766.63</v>
      </c>
      <c r="I42">
        <v>6736.6</v>
      </c>
      <c r="J42">
        <v>6473.56</v>
      </c>
      <c r="K42">
        <v>6765.63</v>
      </c>
    </row>
    <row r="43" spans="1:11" s="4" customFormat="1">
      <c r="A43" s="4" t="s">
        <v>112</v>
      </c>
      <c r="B43">
        <v>82.44</v>
      </c>
      <c r="C43">
        <v>22.74</v>
      </c>
      <c r="D43">
        <v>34.06</v>
      </c>
      <c r="E43">
        <v>30.51</v>
      </c>
      <c r="F43">
        <v>47.01</v>
      </c>
      <c r="G43">
        <v>29.26</v>
      </c>
      <c r="H43">
        <v>33.97</v>
      </c>
      <c r="I43">
        <v>35.47</v>
      </c>
      <c r="J43">
        <v>34.22</v>
      </c>
      <c r="K43">
        <v>32.69</v>
      </c>
    </row>
    <row r="44" spans="1:11" s="4" customFormat="1">
      <c r="A44" s="4" t="s">
        <v>13</v>
      </c>
      <c r="B44">
        <v>1.08</v>
      </c>
      <c r="C44">
        <v>0.03</v>
      </c>
      <c r="D44">
        <v>0.59</v>
      </c>
      <c r="E44">
        <v>3.92</v>
      </c>
      <c r="F44">
        <v>36.25</v>
      </c>
      <c r="G44">
        <v>1.86</v>
      </c>
      <c r="H44">
        <v>0.85</v>
      </c>
      <c r="I44">
        <v>3.42</v>
      </c>
      <c r="J44">
        <v>4.43</v>
      </c>
      <c r="K44">
        <v>0.39</v>
      </c>
    </row>
    <row r="45" spans="1:11" s="4" customFormat="1">
      <c r="A45" s="4" t="s">
        <v>19</v>
      </c>
      <c r="B45">
        <v>4.72</v>
      </c>
      <c r="C45">
        <v>3.51</v>
      </c>
      <c r="D45">
        <v>3.51</v>
      </c>
      <c r="E45">
        <v>3.73</v>
      </c>
      <c r="F45">
        <v>3.32</v>
      </c>
      <c r="G45">
        <v>4.2300000000000004</v>
      </c>
      <c r="H45">
        <v>2.15</v>
      </c>
      <c r="I45">
        <v>1.33</v>
      </c>
      <c r="J45">
        <v>1.73</v>
      </c>
      <c r="K45">
        <v>1.59</v>
      </c>
    </row>
    <row r="46" spans="1:11" s="4" customFormat="1">
      <c r="A46" s="4" t="s">
        <v>17</v>
      </c>
      <c r="B46">
        <v>4352.83</v>
      </c>
      <c r="C46">
        <v>3939.64</v>
      </c>
      <c r="D46">
        <v>4058.54</v>
      </c>
      <c r="E46">
        <v>4554.33</v>
      </c>
      <c r="F46">
        <v>4894.7</v>
      </c>
      <c r="G46">
        <v>5090.97</v>
      </c>
      <c r="H46">
        <v>5181.49</v>
      </c>
      <c r="I46">
        <v>5104.29</v>
      </c>
      <c r="J46">
        <v>4724.72</v>
      </c>
      <c r="K46">
        <v>5154.91</v>
      </c>
    </row>
    <row r="47" spans="1:11" s="4" customFormat="1">
      <c r="A47" s="4" t="s">
        <v>109</v>
      </c>
      <c r="B47">
        <v>1492.81</v>
      </c>
      <c r="C47">
        <v>1661.58</v>
      </c>
      <c r="D47">
        <v>1714.28</v>
      </c>
      <c r="E47">
        <v>1633.45</v>
      </c>
      <c r="F47">
        <v>1285.24</v>
      </c>
      <c r="G47">
        <v>1556.57</v>
      </c>
      <c r="H47">
        <v>1549.87</v>
      </c>
      <c r="I47">
        <v>1598.93</v>
      </c>
      <c r="J47">
        <v>1717.32</v>
      </c>
      <c r="K47">
        <v>1576.83</v>
      </c>
    </row>
    <row r="48" spans="1:11" s="4" customFormat="1">
      <c r="A48" s="4" t="s">
        <v>23</v>
      </c>
      <c r="B48">
        <v>0.32</v>
      </c>
    </row>
    <row r="49" spans="1:11" s="4" customFormat="1">
      <c r="A49" s="4" t="s">
        <v>89</v>
      </c>
      <c r="B49">
        <v>1492.5</v>
      </c>
      <c r="C49">
        <v>1661.58</v>
      </c>
      <c r="D49">
        <v>1714.28</v>
      </c>
      <c r="E49">
        <v>1633.45</v>
      </c>
      <c r="F49">
        <v>1285.24</v>
      </c>
      <c r="G49">
        <v>1556.57</v>
      </c>
      <c r="H49">
        <v>1549.87</v>
      </c>
      <c r="I49">
        <v>1598.93</v>
      </c>
      <c r="J49">
        <v>1717.32</v>
      </c>
      <c r="K49">
        <v>1576.83</v>
      </c>
    </row>
    <row r="50" spans="1:11">
      <c r="A50" s="4" t="s">
        <v>113</v>
      </c>
      <c r="B50">
        <v>5849.28</v>
      </c>
      <c r="C50">
        <v>5604.7</v>
      </c>
      <c r="D50">
        <v>5775.74</v>
      </c>
      <c r="E50">
        <v>6187.59</v>
      </c>
      <c r="F50">
        <v>6147.01</v>
      </c>
      <c r="G50">
        <v>6649.91</v>
      </c>
      <c r="H50">
        <v>6732.66</v>
      </c>
      <c r="I50">
        <v>6701.13</v>
      </c>
      <c r="J50">
        <v>6439.34</v>
      </c>
      <c r="K50">
        <v>6732.94</v>
      </c>
    </row>
    <row r="51" spans="1:11">
      <c r="A51" s="4"/>
    </row>
    <row r="52" spans="1:11">
      <c r="A52" s="4"/>
    </row>
    <row r="53" spans="1:11">
      <c r="A53" s="4"/>
    </row>
    <row r="54" spans="1:11">
      <c r="A54" s="4"/>
    </row>
    <row r="55" spans="1:11">
      <c r="A55" s="3" t="s">
        <v>114</v>
      </c>
    </row>
    <row r="56" spans="1:11" s="5" customFormat="1">
      <c r="A56" s="7" t="s">
        <v>101</v>
      </c>
      <c r="B56" s="6">
        <v>42094</v>
      </c>
      <c r="C56" s="6">
        <v>42460</v>
      </c>
      <c r="D56" s="6">
        <v>42825</v>
      </c>
      <c r="E56" s="6">
        <v>43190</v>
      </c>
      <c r="F56" s="6">
        <v>43555</v>
      </c>
      <c r="G56" s="6">
        <v>43921</v>
      </c>
      <c r="H56" s="6">
        <v>44286</v>
      </c>
      <c r="I56" s="6">
        <v>44651</v>
      </c>
      <c r="J56" s="6">
        <v>45016</v>
      </c>
      <c r="K56" s="6">
        <v>45382</v>
      </c>
    </row>
    <row r="57" spans="1:11">
      <c r="A57" s="4" t="s">
        <v>34</v>
      </c>
      <c r="B57">
        <v>3583.96</v>
      </c>
      <c r="C57">
        <v>4526.46</v>
      </c>
      <c r="D57">
        <v>6526.46</v>
      </c>
      <c r="E57">
        <v>6526.46</v>
      </c>
      <c r="F57">
        <v>9380.4599999999991</v>
      </c>
      <c r="G57">
        <v>11880.46</v>
      </c>
      <c r="H57">
        <v>13068.51</v>
      </c>
      <c r="I57">
        <v>13068.51</v>
      </c>
      <c r="J57">
        <v>13068.51</v>
      </c>
      <c r="K57">
        <v>13068.51</v>
      </c>
    </row>
    <row r="58" spans="1:11">
      <c r="A58" s="4" t="s">
        <v>35</v>
      </c>
      <c r="B58">
        <v>5097.6499999999996</v>
      </c>
      <c r="C58">
        <v>6998.89</v>
      </c>
      <c r="D58">
        <v>5483.14</v>
      </c>
      <c r="E58">
        <v>7402.23</v>
      </c>
      <c r="F58">
        <v>15648.19</v>
      </c>
      <c r="G58">
        <v>18419.29</v>
      </c>
      <c r="H58">
        <v>22844.880000000001</v>
      </c>
      <c r="I58">
        <v>27927.83</v>
      </c>
      <c r="J58">
        <v>31611.68</v>
      </c>
      <c r="K58">
        <v>36110.06</v>
      </c>
    </row>
    <row r="59" spans="1:11">
      <c r="A59" s="4" t="s">
        <v>36</v>
      </c>
      <c r="B59">
        <v>71269.63</v>
      </c>
      <c r="C59">
        <v>87503.18</v>
      </c>
      <c r="D59">
        <v>106394.86</v>
      </c>
      <c r="E59">
        <v>134005.53</v>
      </c>
      <c r="F59">
        <v>173932.67</v>
      </c>
      <c r="G59">
        <v>234376.72</v>
      </c>
      <c r="H59">
        <v>323145.26</v>
      </c>
      <c r="I59">
        <v>388439.97</v>
      </c>
      <c r="J59">
        <v>418934.9</v>
      </c>
      <c r="K59">
        <v>412038.52</v>
      </c>
    </row>
    <row r="60" spans="1:11">
      <c r="A60" s="4" t="s">
        <v>37</v>
      </c>
      <c r="B60">
        <v>7695.75</v>
      </c>
      <c r="C60">
        <v>9371.86</v>
      </c>
      <c r="D60">
        <v>11245.17</v>
      </c>
      <c r="E60">
        <v>13534.1</v>
      </c>
      <c r="F60">
        <v>7642.29</v>
      </c>
      <c r="G60">
        <v>10827.66</v>
      </c>
      <c r="H60">
        <v>21422.87</v>
      </c>
      <c r="I60">
        <v>20543.91</v>
      </c>
      <c r="J60">
        <v>26743.66</v>
      </c>
      <c r="K60">
        <v>23865.34</v>
      </c>
    </row>
    <row r="61" spans="1:11" s="3" customFormat="1">
      <c r="A61" s="3" t="s">
        <v>115</v>
      </c>
      <c r="B61">
        <v>87646.99</v>
      </c>
      <c r="C61">
        <v>108400.39</v>
      </c>
      <c r="D61">
        <v>129649.63</v>
      </c>
      <c r="E61">
        <v>161468.32</v>
      </c>
      <c r="F61">
        <v>206603.61</v>
      </c>
      <c r="G61">
        <v>275504.13</v>
      </c>
      <c r="H61">
        <v>380481.52</v>
      </c>
      <c r="I61">
        <v>449980.22</v>
      </c>
      <c r="J61">
        <v>490358.75</v>
      </c>
      <c r="K61">
        <v>485082.43</v>
      </c>
    </row>
    <row r="62" spans="1:11">
      <c r="A62" s="4" t="s">
        <v>116</v>
      </c>
      <c r="B62">
        <v>12.01</v>
      </c>
      <c r="C62">
        <v>11.76</v>
      </c>
      <c r="D62">
        <v>11.52</v>
      </c>
      <c r="E62">
        <v>11.29</v>
      </c>
      <c r="F62">
        <v>11.28</v>
      </c>
      <c r="G62">
        <v>11.05</v>
      </c>
      <c r="H62">
        <v>45.36</v>
      </c>
      <c r="I62">
        <v>37.96</v>
      </c>
      <c r="J62">
        <v>19.190000000000001</v>
      </c>
      <c r="K62">
        <v>22.05</v>
      </c>
    </row>
    <row r="63" spans="1:11">
      <c r="A63" s="4" t="s">
        <v>40</v>
      </c>
      <c r="K63">
        <v>3.78</v>
      </c>
    </row>
    <row r="64" spans="1:11">
      <c r="A64" s="4" t="s">
        <v>41</v>
      </c>
      <c r="B64">
        <v>9.32</v>
      </c>
      <c r="C64">
        <v>7.87</v>
      </c>
      <c r="D64">
        <v>7.87</v>
      </c>
      <c r="E64">
        <v>13.98</v>
      </c>
      <c r="F64">
        <v>13.15</v>
      </c>
      <c r="G64">
        <v>11.51</v>
      </c>
      <c r="H64">
        <v>11.98</v>
      </c>
      <c r="I64">
        <v>10</v>
      </c>
      <c r="J64">
        <v>13.66</v>
      </c>
      <c r="K64">
        <v>53.6</v>
      </c>
    </row>
    <row r="65" spans="1:11">
      <c r="A65" s="4" t="s">
        <v>42</v>
      </c>
      <c r="B65">
        <v>87625.66</v>
      </c>
      <c r="C65">
        <v>108380.76</v>
      </c>
      <c r="D65">
        <v>129630.24</v>
      </c>
      <c r="E65">
        <v>161443.04999999999</v>
      </c>
      <c r="F65">
        <v>206579.18</v>
      </c>
      <c r="G65">
        <v>275481.57</v>
      </c>
      <c r="H65">
        <v>380424.18</v>
      </c>
      <c r="I65">
        <v>449932.26</v>
      </c>
      <c r="J65">
        <v>490325.9</v>
      </c>
      <c r="K65">
        <v>485003</v>
      </c>
    </row>
    <row r="66" spans="1:11" s="3" customFormat="1">
      <c r="A66" s="3" t="s">
        <v>115</v>
      </c>
      <c r="B66">
        <v>87646.99</v>
      </c>
      <c r="C66">
        <v>108400.39</v>
      </c>
      <c r="D66">
        <v>129649.63</v>
      </c>
      <c r="E66">
        <v>161468.32</v>
      </c>
      <c r="F66">
        <v>206603.61</v>
      </c>
      <c r="G66">
        <v>275504.13</v>
      </c>
      <c r="H66">
        <v>380481.52</v>
      </c>
      <c r="I66">
        <v>449980.22</v>
      </c>
      <c r="J66">
        <v>490358.75</v>
      </c>
      <c r="K66">
        <v>485082.43</v>
      </c>
    </row>
    <row r="67" spans="1:11" s="4" customFormat="1">
      <c r="A67" s="4" t="s">
        <v>44</v>
      </c>
      <c r="I67">
        <v>200692.5</v>
      </c>
      <c r="J67">
        <v>243356.87</v>
      </c>
      <c r="K67">
        <v>259690.6</v>
      </c>
    </row>
    <row r="68" spans="1:11">
      <c r="A68" s="4" t="s">
        <v>45</v>
      </c>
    </row>
    <row r="69" spans="1:11">
      <c r="A69" s="1" t="s">
        <v>46</v>
      </c>
      <c r="B69">
        <v>5.07</v>
      </c>
      <c r="C69">
        <v>1211.21</v>
      </c>
      <c r="D69">
        <v>7.52</v>
      </c>
      <c r="E69">
        <v>99.82</v>
      </c>
      <c r="F69">
        <v>81.069999999999993</v>
      </c>
      <c r="G69">
        <v>100.76</v>
      </c>
      <c r="H69">
        <v>458.92</v>
      </c>
      <c r="I69">
        <v>303.38</v>
      </c>
      <c r="J69">
        <v>541.66</v>
      </c>
      <c r="K69">
        <v>467.37</v>
      </c>
    </row>
    <row r="70" spans="1:11">
      <c r="A70" s="1" t="s">
        <v>117</v>
      </c>
      <c r="B70">
        <v>35839600</v>
      </c>
      <c r="C70">
        <v>45264600</v>
      </c>
      <c r="D70">
        <v>65264600</v>
      </c>
      <c r="E70">
        <v>6526460000</v>
      </c>
      <c r="F70">
        <v>9380460000</v>
      </c>
      <c r="G70">
        <v>11880460000</v>
      </c>
      <c r="H70">
        <v>13068506000</v>
      </c>
      <c r="I70">
        <v>13068506000</v>
      </c>
      <c r="J70">
        <v>13068506000</v>
      </c>
      <c r="K70">
        <v>13068506000</v>
      </c>
    </row>
    <row r="71" spans="1:11">
      <c r="A71" s="1" t="s">
        <v>118</v>
      </c>
    </row>
    <row r="72" spans="1:11">
      <c r="A72" s="1" t="s">
        <v>119</v>
      </c>
      <c r="B72">
        <v>1000</v>
      </c>
      <c r="C72">
        <v>1000</v>
      </c>
      <c r="D72">
        <v>10</v>
      </c>
      <c r="E72">
        <v>10</v>
      </c>
      <c r="F72">
        <v>10</v>
      </c>
      <c r="G72">
        <v>10</v>
      </c>
      <c r="H72">
        <v>10</v>
      </c>
      <c r="I72">
        <v>10</v>
      </c>
      <c r="J72">
        <v>10</v>
      </c>
      <c r="K72">
        <v>10</v>
      </c>
    </row>
    <row r="74" spans="1:11">
      <c r="A74" s="4" t="s">
        <v>42</v>
      </c>
      <c r="C74" s="1">
        <f>C65-SUM(C67:C69)</f>
        <v>107169.54999999999</v>
      </c>
      <c r="D74" s="1">
        <f t="shared" ref="D74:K74" si="0">D65-SUM(D67:D69)</f>
        <v>129622.72</v>
      </c>
      <c r="E74" s="1">
        <f t="shared" si="0"/>
        <v>161343.22999999998</v>
      </c>
      <c r="F74" s="1">
        <f t="shared" si="0"/>
        <v>206498.11</v>
      </c>
      <c r="G74" s="1">
        <f t="shared" si="0"/>
        <v>275380.81</v>
      </c>
      <c r="H74" s="1">
        <f t="shared" si="0"/>
        <v>379965.26</v>
      </c>
      <c r="I74" s="1">
        <f t="shared" si="0"/>
        <v>248936.38</v>
      </c>
      <c r="J74" s="1">
        <f t="shared" si="0"/>
        <v>246427.37000000002</v>
      </c>
      <c r="K74" s="1">
        <f t="shared" si="0"/>
        <v>224845.03</v>
      </c>
    </row>
    <row r="75" spans="1:11">
      <c r="A75" s="4"/>
    </row>
    <row r="76" spans="1:11">
      <c r="A76" s="4"/>
    </row>
    <row r="77" spans="1:11">
      <c r="A77" s="4"/>
    </row>
    <row r="78" spans="1:11">
      <c r="A78" s="4"/>
    </row>
    <row r="79" spans="1:11">
      <c r="A79" s="4"/>
    </row>
    <row r="80" spans="1:11">
      <c r="A80" s="3" t="s">
        <v>120</v>
      </c>
    </row>
    <row r="81" spans="1:11" s="5" customFormat="1">
      <c r="A81" s="7" t="s">
        <v>101</v>
      </c>
      <c r="B81" s="6">
        <v>42094</v>
      </c>
      <c r="C81" s="6">
        <v>42460</v>
      </c>
      <c r="D81" s="6">
        <v>42825</v>
      </c>
      <c r="E81" s="6">
        <v>43190</v>
      </c>
      <c r="F81" s="6">
        <v>43555</v>
      </c>
      <c r="G81" s="6">
        <v>43921</v>
      </c>
      <c r="H81" s="6">
        <v>44286</v>
      </c>
      <c r="I81" s="6">
        <v>44651</v>
      </c>
      <c r="J81" s="6">
        <v>45016</v>
      </c>
      <c r="K81" s="6">
        <v>45382</v>
      </c>
    </row>
    <row r="82" spans="1:11" s="3" customFormat="1">
      <c r="A82" s="4" t="s">
        <v>51</v>
      </c>
      <c r="C82">
        <v>-16377.5</v>
      </c>
      <c r="D82">
        <v>-19455.18</v>
      </c>
      <c r="E82">
        <v>-28076.12</v>
      </c>
      <c r="F82">
        <v>-41748.19</v>
      </c>
      <c r="G82">
        <v>-62700.61</v>
      </c>
      <c r="H82">
        <v>-89906.65</v>
      </c>
      <c r="I82">
        <v>-64412.28</v>
      </c>
      <c r="J82">
        <v>-28588.36</v>
      </c>
      <c r="K82">
        <v>7914.1</v>
      </c>
    </row>
    <row r="83" spans="1:11" s="4" customFormat="1">
      <c r="A83" s="4" t="s">
        <v>52</v>
      </c>
      <c r="C83">
        <v>1.94</v>
      </c>
      <c r="D83">
        <v>1.79</v>
      </c>
      <c r="E83">
        <v>1.67</v>
      </c>
      <c r="F83">
        <v>1.31</v>
      </c>
      <c r="G83">
        <v>1.47</v>
      </c>
      <c r="H83">
        <v>0.42</v>
      </c>
      <c r="I83">
        <v>-4.72</v>
      </c>
      <c r="J83">
        <v>0.09</v>
      </c>
      <c r="K83">
        <v>-7.54</v>
      </c>
    </row>
    <row r="84" spans="1:11" s="4" customFormat="1">
      <c r="A84" s="4" t="s">
        <v>53</v>
      </c>
      <c r="C84">
        <v>17581.7</v>
      </c>
      <c r="D84">
        <v>18249.71</v>
      </c>
      <c r="E84">
        <v>28074.63</v>
      </c>
      <c r="F84">
        <v>41749.449999999997</v>
      </c>
      <c r="G84">
        <v>62696.81</v>
      </c>
      <c r="H84">
        <v>90202.04</v>
      </c>
      <c r="I84">
        <v>64266.3</v>
      </c>
      <c r="J84">
        <v>28644.48</v>
      </c>
      <c r="K84">
        <v>-8046.42</v>
      </c>
    </row>
    <row r="85" spans="1:11" s="3" customFormat="1">
      <c r="A85" s="4" t="s">
        <v>54</v>
      </c>
      <c r="C85">
        <v>1206.1400000000001</v>
      </c>
      <c r="D85">
        <v>-1203.69</v>
      </c>
      <c r="E85">
        <v>0.18</v>
      </c>
      <c r="F85">
        <v>2.58</v>
      </c>
      <c r="G85">
        <v>-2.33</v>
      </c>
      <c r="H85">
        <v>295.81</v>
      </c>
      <c r="I85">
        <v>-150.69999999999999</v>
      </c>
      <c r="J85">
        <v>56.21</v>
      </c>
      <c r="K85">
        <v>-139.87</v>
      </c>
    </row>
    <row r="86" spans="1:11">
      <c r="A86" s="4"/>
    </row>
    <row r="87" spans="1:11">
      <c r="A87" s="4"/>
    </row>
    <row r="88" spans="1:11">
      <c r="A88" s="4"/>
    </row>
    <row r="89" spans="1:11">
      <c r="A89" s="4"/>
    </row>
    <row r="90" spans="1:11" s="3" customFormat="1">
      <c r="A90" s="3" t="s">
        <v>121</v>
      </c>
      <c r="H90">
        <v>22.9</v>
      </c>
      <c r="I90">
        <v>21.45</v>
      </c>
      <c r="J90">
        <v>26.6</v>
      </c>
      <c r="K90">
        <v>142.35</v>
      </c>
    </row>
    <row r="92" spans="1:11" s="3" customFormat="1">
      <c r="A92" s="3" t="s">
        <v>122</v>
      </c>
    </row>
    <row r="93" spans="1:11">
      <c r="A93" s="1" t="s">
        <v>123</v>
      </c>
      <c r="B93" s="2">
        <v>3.58</v>
      </c>
      <c r="C93" s="2">
        <v>4.53</v>
      </c>
      <c r="D93" s="2">
        <v>6.53</v>
      </c>
      <c r="E93" s="2">
        <v>652.65</v>
      </c>
      <c r="F93" s="2">
        <v>938.05</v>
      </c>
      <c r="G93" s="2">
        <v>1188.05</v>
      </c>
      <c r="H93" s="2">
        <v>1306.8499999999999</v>
      </c>
      <c r="I93" s="2">
        <v>1306.8499999999999</v>
      </c>
      <c r="J93" s="2">
        <v>1306.8499999999999</v>
      </c>
      <c r="K93" s="2">
        <v>1306.8499999999999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F91149B1-1CC9-4086-A041-C3D84D2C0742}"/>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Jayesh Kolambkar</dc:creator>
  <cp:keywords/>
  <dc:description/>
  <cp:lastModifiedBy>Guest User</cp:lastModifiedBy>
  <cp:revision/>
  <dcterms:created xsi:type="dcterms:W3CDTF">2024-09-29T05:24:18Z</dcterms:created>
  <dcterms:modified xsi:type="dcterms:W3CDTF">2025-10-11T08:40:12Z</dcterms:modified>
  <cp:category/>
  <cp:contentStatus/>
</cp:coreProperties>
</file>